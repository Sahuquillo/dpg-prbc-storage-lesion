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ta\Desktop\20251106 - Short Journal of Neurotrauma\"/>
    </mc:Choice>
  </mc:AlternateContent>
  <xr:revisionPtr revIDLastSave="0" documentId="13_ncr:1_{B2F9635A-8755-46AA-B53F-8C221E80E9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,3-DPG(umol-gHb)" sheetId="10" r:id="rId1"/>
    <sheet name="2,3-DPG(umol-mL)" sheetId="11" r:id="rId2"/>
    <sheet name="Hbt(g-L)" sheetId="8" r:id="rId3"/>
    <sheet name="Hbt(g-mL)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jYjQdkoiTlfjcBu/PJO1V3rI0sUA=="/>
    </ext>
  </extLst>
</workbook>
</file>

<file path=xl/calcChain.xml><?xml version="1.0" encoding="utf-8"?>
<calcChain xmlns="http://schemas.openxmlformats.org/spreadsheetml/2006/main">
  <c r="C2" i="10" l="1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B3" i="10"/>
  <c r="B4" i="10"/>
  <c r="B5" i="10"/>
  <c r="B2" i="10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B3" i="9"/>
  <c r="B4" i="9"/>
  <c r="B5" i="9"/>
  <c r="B6" i="9"/>
  <c r="B7" i="9"/>
  <c r="B9" i="9"/>
  <c r="B10" i="9"/>
  <c r="B11" i="9"/>
  <c r="B12" i="9"/>
  <c r="B14" i="9"/>
  <c r="B2" i="9"/>
</calcChain>
</file>

<file path=xl/sharedStrings.xml><?xml version="1.0" encoding="utf-8"?>
<sst xmlns="http://schemas.openxmlformats.org/spreadsheetml/2006/main" count="310" uniqueCount="44">
  <si>
    <t>n.d.</t>
  </si>
  <si>
    <t>total Hb (g/L)</t>
  </si>
  <si>
    <t>RBC1</t>
  </si>
  <si>
    <t>RBC2</t>
  </si>
  <si>
    <t>RBC3</t>
  </si>
  <si>
    <t>RBC4</t>
  </si>
  <si>
    <t>RBC5</t>
  </si>
  <si>
    <t>RBC6</t>
  </si>
  <si>
    <t>RBC7</t>
  </si>
  <si>
    <t>RBC8</t>
  </si>
  <si>
    <t>RBC9</t>
  </si>
  <si>
    <t>RBC10</t>
  </si>
  <si>
    <t>RBC11</t>
  </si>
  <si>
    <t>RBC12</t>
  </si>
  <si>
    <t>RBC13</t>
  </si>
  <si>
    <t>RBC14</t>
  </si>
  <si>
    <t>RBC15</t>
  </si>
  <si>
    <t>RBC16</t>
  </si>
  <si>
    <t>RBC17</t>
  </si>
  <si>
    <t>RBC18</t>
  </si>
  <si>
    <t>RBC19</t>
  </si>
  <si>
    <t>RBC20</t>
  </si>
  <si>
    <t>RBC21</t>
  </si>
  <si>
    <t>RBC22</t>
  </si>
  <si>
    <t>RBC23</t>
  </si>
  <si>
    <t>RBC24</t>
  </si>
  <si>
    <t>Day 3</t>
  </si>
  <si>
    <t>Day 7</t>
  </si>
  <si>
    <t>Day 11</t>
  </si>
  <si>
    <t>Day 14</t>
  </si>
  <si>
    <t>Day 17</t>
  </si>
  <si>
    <t>Day 21</t>
  </si>
  <si>
    <t>Day 23</t>
  </si>
  <si>
    <t>Day 25</t>
  </si>
  <si>
    <t>Day 28</t>
  </si>
  <si>
    <t>Day 30</t>
  </si>
  <si>
    <t>Day 32</t>
  </si>
  <si>
    <t>Day 35</t>
  </si>
  <si>
    <t>Day 37</t>
  </si>
  <si>
    <t>Day 42</t>
  </si>
  <si>
    <t>total Hb (g/mL)</t>
  </si>
  <si>
    <t>2,3-DPG (umol/g Hb)</t>
  </si>
  <si>
    <t>2,3-DPG (umol/mL)</t>
  </si>
  <si>
    <t>Day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</si>
</sst>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</cellStyleXfs>
  <cellXfs count="52">
    <xf numFmtId="0" fontId="0" fillId="0" borderId="0" xfId="0"/>
    <xf numFmtId="0" fontId="3" fillId="3" borderId="0" xfId="2" applyFont="1"/>
    <xf numFmtId="0" fontId="5" fillId="2" borderId="1" xfId="1" applyFont="1" applyBorder="1" applyAlignment="1">
      <alignment horizontal="center"/>
    </xf>
    <xf numFmtId="0" fontId="5" fillId="2" borderId="2" xfId="1" applyFont="1" applyBorder="1" applyAlignment="1">
      <alignment horizontal="center"/>
    </xf>
    <xf numFmtId="0" fontId="5" fillId="2" borderId="3" xfId="1" applyFont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5" fillId="2" borderId="7" xfId="1" applyFont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7" fillId="4" borderId="9" xfId="0" applyFont="1" applyFill="1" applyBorder="1"/>
    <xf numFmtId="0" fontId="7" fillId="4" borderId="10" xfId="0" applyFont="1" applyFill="1" applyBorder="1"/>
    <xf numFmtId="0" fontId="0" fillId="4" borderId="9" xfId="0" applyFill="1" applyBorder="1"/>
    <xf numFmtId="0" fontId="5" fillId="2" borderId="11" xfId="1" applyFont="1" applyBorder="1"/>
    <xf numFmtId="0" fontId="0" fillId="5" borderId="12" xfId="0" applyFill="1" applyBorder="1"/>
    <xf numFmtId="0" fontId="0" fillId="5" borderId="13" xfId="0" applyFill="1" applyBorder="1"/>
    <xf numFmtId="0" fontId="0" fillId="4" borderId="13" xfId="0" applyFill="1" applyBorder="1"/>
    <xf numFmtId="0" fontId="7" fillId="4" borderId="13" xfId="0" applyFont="1" applyFill="1" applyBorder="1"/>
    <xf numFmtId="0" fontId="7" fillId="4" borderId="14" xfId="0" applyFont="1" applyFill="1" applyBorder="1"/>
    <xf numFmtId="0" fontId="4" fillId="0" borderId="0" xfId="0" applyFont="1"/>
    <xf numFmtId="0" fontId="1" fillId="4" borderId="13" xfId="0" applyFont="1" applyFill="1" applyBorder="1"/>
    <xf numFmtId="0" fontId="1" fillId="4" borderId="14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5" fillId="2" borderId="15" xfId="1" applyFont="1" applyBorder="1" applyAlignment="1">
      <alignment horizontal="center"/>
    </xf>
    <xf numFmtId="0" fontId="5" fillId="2" borderId="16" xfId="1" applyFont="1" applyBorder="1" applyAlignment="1">
      <alignment horizontal="center"/>
    </xf>
    <xf numFmtId="0" fontId="5" fillId="2" borderId="17" xfId="1" applyFont="1" applyBorder="1" applyAlignment="1">
      <alignment horizontal="center"/>
    </xf>
    <xf numFmtId="164" fontId="2" fillId="4" borderId="8" xfId="0" applyNumberFormat="1" applyFont="1" applyFill="1" applyBorder="1" applyAlignment="1">
      <alignment horizontal="center" vertical="center"/>
    </xf>
    <xf numFmtId="164" fontId="2" fillId="4" borderId="9" xfId="0" applyNumberFormat="1" applyFont="1" applyFill="1" applyBorder="1" applyAlignment="1">
      <alignment horizontal="center" vertical="center"/>
    </xf>
    <xf numFmtId="164" fontId="8" fillId="4" borderId="8" xfId="0" applyNumberFormat="1" applyFont="1" applyFill="1" applyBorder="1" applyAlignment="1">
      <alignment horizontal="center" vertical="center"/>
    </xf>
    <xf numFmtId="164" fontId="8" fillId="4" borderId="9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/>
    </xf>
    <xf numFmtId="164" fontId="8" fillId="4" borderId="13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164" fontId="8" fillId="4" borderId="14" xfId="0" applyNumberFormat="1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0" fontId="5" fillId="2" borderId="18" xfId="1" applyFont="1" applyBorder="1"/>
    <xf numFmtId="0" fontId="5" fillId="2" borderId="19" xfId="1" applyFont="1" applyBorder="1"/>
    <xf numFmtId="0" fontId="5" fillId="2" borderId="20" xfId="1" applyFont="1" applyBorder="1"/>
    <xf numFmtId="164" fontId="1" fillId="4" borderId="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</cellXfs>
  <cellStyles count="3">
    <cellStyle name="Énfasis2" xfId="1" builtinId="33"/>
    <cellStyle name="Énfasis4" xfId="2" builtinId="41"/>
    <cellStyle name="Normal" xfId="0" builtinId="0"/>
  </cellStyles>
  <dxfs count="6"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theme="7"/>
          <bgColor theme="7"/>
        </patternFill>
      </fill>
    </dxf>
  </dxfs>
  <tableStyles count="2">
    <tableStyle name="Tanda 2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anda 3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15D9-CD09-442E-9742-2E42142079CE}">
  <dimension ref="A1:U12"/>
  <sheetViews>
    <sheetView tabSelected="1" workbookViewId="0">
      <selection activeCell="F18" sqref="F18"/>
    </sheetView>
  </sheetViews>
  <sheetFormatPr baseColWidth="10" defaultColWidth="11.44140625" defaultRowHeight="14.4" x14ac:dyDescent="0.3"/>
  <cols>
    <col min="1" max="1" width="20" customWidth="1"/>
  </cols>
  <sheetData>
    <row r="1" spans="1:21" ht="15" thickBot="1" x14ac:dyDescent="0.35">
      <c r="A1" s="1" t="s">
        <v>41</v>
      </c>
      <c r="B1" s="2" t="s">
        <v>6</v>
      </c>
      <c r="C1" s="3" t="s">
        <v>7</v>
      </c>
      <c r="D1" s="2" t="s">
        <v>8</v>
      </c>
      <c r="E1" s="3" t="s">
        <v>9</v>
      </c>
      <c r="F1" s="2" t="s">
        <v>10</v>
      </c>
      <c r="G1" s="3" t="s">
        <v>11</v>
      </c>
      <c r="H1" s="2" t="s">
        <v>12</v>
      </c>
      <c r="I1" s="3" t="s">
        <v>13</v>
      </c>
      <c r="J1" s="2" t="s">
        <v>14</v>
      </c>
      <c r="K1" s="3" t="s">
        <v>15</v>
      </c>
      <c r="L1" s="2" t="s">
        <v>16</v>
      </c>
      <c r="M1" s="3" t="s">
        <v>17</v>
      </c>
      <c r="N1" s="2" t="s">
        <v>18</v>
      </c>
      <c r="O1" s="3" t="s">
        <v>19</v>
      </c>
      <c r="P1" s="2" t="s">
        <v>20</v>
      </c>
      <c r="Q1" s="3" t="s">
        <v>21</v>
      </c>
      <c r="R1" s="2" t="s">
        <v>22</v>
      </c>
      <c r="S1" s="3" t="s">
        <v>23</v>
      </c>
      <c r="T1" s="2" t="s">
        <v>24</v>
      </c>
      <c r="U1" s="3" t="s">
        <v>25</v>
      </c>
    </row>
    <row r="2" spans="1:21" x14ac:dyDescent="0.3">
      <c r="A2" s="4" t="s">
        <v>26</v>
      </c>
      <c r="B2" s="50">
        <f>'2,3-DPG(umol-mL)'!B2/'Hbt(g-mL)'!F2</f>
        <v>5.7487922705314007</v>
      </c>
      <c r="C2" s="43">
        <f>'2,3-DPG(umol-mL)'!C2/'Hbt(g-mL)'!G2</f>
        <v>4.2788461538461542</v>
      </c>
      <c r="D2" s="43">
        <f>'2,3-DPG(umol-mL)'!D2/'Hbt(g-mL)'!H2</f>
        <v>8.382352941176471</v>
      </c>
      <c r="E2" s="43">
        <f>'2,3-DPG(umol-mL)'!E2/'Hbt(g-mL)'!I2</f>
        <v>5.1030927835051543</v>
      </c>
      <c r="F2" s="43">
        <f>'2,3-DPG(umol-mL)'!F2/'Hbt(g-mL)'!J2</f>
        <v>6.8062827225130889</v>
      </c>
      <c r="G2" s="43">
        <f>'2,3-DPG(umol-mL)'!G2/'Hbt(g-mL)'!K2</f>
        <v>7.2448979591836729</v>
      </c>
      <c r="H2" s="43">
        <f>'2,3-DPG(umol-mL)'!H2/'Hbt(g-mL)'!L2</f>
        <v>1.2599827532749399</v>
      </c>
      <c r="I2" s="43">
        <f>'2,3-DPG(umol-mL)'!I2/'Hbt(g-mL)'!M2</f>
        <v>14.702690916480391</v>
      </c>
      <c r="J2" s="43">
        <f>'2,3-DPG(umol-mL)'!J2/'Hbt(g-mL)'!N2</f>
        <v>4.0154027141023292</v>
      </c>
      <c r="K2" s="43">
        <f>'2,3-DPG(umol-mL)'!K2/'Hbt(g-mL)'!O2</f>
        <v>8.4672974304693778</v>
      </c>
      <c r="L2" s="43">
        <f>'2,3-DPG(umol-mL)'!L2/'Hbt(g-mL)'!P2</f>
        <v>3.9621944726681573</v>
      </c>
      <c r="M2" s="43">
        <f>'2,3-DPG(umol-mL)'!M2/'Hbt(g-mL)'!Q2</f>
        <v>8.3350266870880905</v>
      </c>
      <c r="N2" s="43">
        <f>'2,3-DPG(umol-mL)'!N2/'Hbt(g-mL)'!R2</f>
        <v>2.0982820178938968</v>
      </c>
      <c r="O2" s="43">
        <f>'2,3-DPG(umol-mL)'!O2/'Hbt(g-mL)'!S2</f>
        <v>2.5071094810196226</v>
      </c>
      <c r="P2" s="43">
        <f>'2,3-DPG(umol-mL)'!P2/'Hbt(g-mL)'!T2</f>
        <v>3.1776119820828663</v>
      </c>
      <c r="Q2" s="43">
        <f>'2,3-DPG(umol-mL)'!Q2/'Hbt(g-mL)'!U2</f>
        <v>2.5637591985282353</v>
      </c>
      <c r="R2" s="43">
        <f>'2,3-DPG(umol-mL)'!R2/'Hbt(g-mL)'!V2</f>
        <v>2.5087139314254214</v>
      </c>
      <c r="S2" s="43">
        <f>'2,3-DPG(umol-mL)'!S2/'Hbt(g-mL)'!W2</f>
        <v>0.76769485595176057</v>
      </c>
      <c r="T2" s="43">
        <f>'2,3-DPG(umol-mL)'!T2/'Hbt(g-mL)'!X2</f>
        <v>2.8214865375729827</v>
      </c>
      <c r="U2" s="44">
        <f>'2,3-DPG(umol-mL)'!U2/'Hbt(g-mL)'!Y2</f>
        <v>1.8942548476454291</v>
      </c>
    </row>
    <row r="3" spans="1:21" x14ac:dyDescent="0.3">
      <c r="A3" s="8" t="s">
        <v>27</v>
      </c>
      <c r="B3" s="51">
        <f>'2,3-DPG(umol-mL)'!B3/'Hbt(g-mL)'!F3</f>
        <v>5.3703703703703702</v>
      </c>
      <c r="C3" s="45">
        <f>'2,3-DPG(umol-mL)'!C3/'Hbt(g-mL)'!G3</f>
        <v>2.4519230769230771</v>
      </c>
      <c r="D3" s="45">
        <f>'2,3-DPG(umol-mL)'!D3/'Hbt(g-mL)'!H3</f>
        <v>3.1553398058252431</v>
      </c>
      <c r="E3" s="45">
        <f>'2,3-DPG(umol-mL)'!E3/'Hbt(g-mL)'!I3</f>
        <v>1.3636363636363638</v>
      </c>
      <c r="F3" s="45">
        <f>'2,3-DPG(umol-mL)'!F3/'Hbt(g-mL)'!J3</f>
        <v>2.1649484536082473</v>
      </c>
      <c r="G3" s="45">
        <f>'2,3-DPG(umol-mL)'!G3/'Hbt(g-mL)'!K3</f>
        <v>1.557788944723618</v>
      </c>
      <c r="H3" s="45">
        <f>'2,3-DPG(umol-mL)'!H3/'Hbt(g-mL)'!L3</f>
        <v>0.22425062656641601</v>
      </c>
      <c r="I3" s="45">
        <f>'2,3-DPG(umol-mL)'!I3/'Hbt(g-mL)'!M3</f>
        <v>0.60549699248120281</v>
      </c>
      <c r="J3" s="45">
        <f>'2,3-DPG(umol-mL)'!J3/'Hbt(g-mL)'!N3</f>
        <v>0.67227756892230583</v>
      </c>
      <c r="K3" s="45">
        <f>'2,3-DPG(umol-mL)'!K3/'Hbt(g-mL)'!O3</f>
        <v>0.5962985069308343</v>
      </c>
      <c r="L3" s="45">
        <f>'2,3-DPG(umol-mL)'!L3/'Hbt(g-mL)'!P3</f>
        <v>0.27165353222628769</v>
      </c>
      <c r="M3" s="45">
        <f>'2,3-DPG(umol-mL)'!M3/'Hbt(g-mL)'!Q3</f>
        <v>0.30690824282929546</v>
      </c>
      <c r="N3" s="45">
        <f>'2,3-DPG(umol-mL)'!N3/'Hbt(g-mL)'!R3</f>
        <v>2.0851125871674006</v>
      </c>
      <c r="O3" s="45">
        <f>'2,3-DPG(umol-mL)'!O3/'Hbt(g-mL)'!S3</f>
        <v>1.151326027121375</v>
      </c>
      <c r="P3" s="45">
        <f>'2,3-DPG(umol-mL)'!P3/'Hbt(g-mL)'!T3</f>
        <v>0.73146042188805349</v>
      </c>
      <c r="Q3" s="45">
        <f>'2,3-DPG(umol-mL)'!Q3/'Hbt(g-mL)'!U3</f>
        <v>1.0135626982147312</v>
      </c>
      <c r="R3" s="45">
        <f>'2,3-DPG(umol-mL)'!R3/'Hbt(g-mL)'!V3</f>
        <v>0.85335291353383469</v>
      </c>
      <c r="S3" s="45">
        <f>'2,3-DPG(umol-mL)'!S3/'Hbt(g-mL)'!W3</f>
        <v>0.29429599784213906</v>
      </c>
      <c r="T3" s="45">
        <f>'2,3-DPG(umol-mL)'!T3/'Hbt(g-mL)'!X3</f>
        <v>0.76568599333385001</v>
      </c>
      <c r="U3" s="46">
        <f>'2,3-DPG(umol-mL)'!U3/'Hbt(g-mL)'!Y3</f>
        <v>0.56607389903329763</v>
      </c>
    </row>
    <row r="4" spans="1:21" x14ac:dyDescent="0.3">
      <c r="A4" s="8" t="s">
        <v>43</v>
      </c>
      <c r="B4" s="51">
        <f>'2,3-DPG(umol-mL)'!B4/'Hbt(g-mL)'!F4</f>
        <v>1.6230366492146597</v>
      </c>
      <c r="C4" s="45">
        <f>'2,3-DPG(umol-mL)'!C4/'Hbt(g-mL)'!G4</f>
        <v>0.71770334928229662</v>
      </c>
      <c r="D4" s="45">
        <f>'2,3-DPG(umol-mL)'!D4/'Hbt(g-mL)'!H4</f>
        <v>0.88669950738916248</v>
      </c>
      <c r="E4" s="45">
        <f>'2,3-DPG(umol-mL)'!E4/'Hbt(g-mL)'!I4</f>
        <v>1.5656565656565655</v>
      </c>
      <c r="F4" s="45">
        <f>'2,3-DPG(umol-mL)'!F4/'Hbt(g-mL)'!J4</f>
        <v>1.2435233160621761</v>
      </c>
      <c r="G4" s="45">
        <f>'2,3-DPG(umol-mL)'!G4/'Hbt(g-mL)'!K4</f>
        <v>0.54999999999999993</v>
      </c>
      <c r="H4" s="45">
        <f>'2,3-DPG(umol-mL)'!H4/'Hbt(g-mL)'!L4</f>
        <v>0.17359712354280196</v>
      </c>
      <c r="I4" s="45">
        <f>'2,3-DPG(umol-mL)'!I4/'Hbt(g-mL)'!M4</f>
        <v>0.37930890659484529</v>
      </c>
      <c r="J4" s="45">
        <f>'2,3-DPG(umol-mL)'!J4/'Hbt(g-mL)'!N4</f>
        <v>0.46133879474806416</v>
      </c>
      <c r="K4" s="45">
        <f>'2,3-DPG(umol-mL)'!K4/'Hbt(g-mL)'!O4</f>
        <v>0.28045923632610942</v>
      </c>
      <c r="L4" s="45">
        <f>'2,3-DPG(umol-mL)'!L4/'Hbt(g-mL)'!P4</f>
        <v>9.8975615835168049E-2</v>
      </c>
      <c r="M4" s="45">
        <f>'2,3-DPG(umol-mL)'!M4/'Hbt(g-mL)'!Q4</f>
        <v>0.10079615705931497</v>
      </c>
      <c r="N4" s="45">
        <f>'2,3-DPG(umol-mL)'!N4/'Hbt(g-mL)'!R4</f>
        <v>1.0824565541211519</v>
      </c>
      <c r="O4" s="45">
        <f>'2,3-DPG(umol-mL)'!O4/'Hbt(g-mL)'!S4</f>
        <v>0.65801360017691291</v>
      </c>
      <c r="P4" s="45">
        <f>'2,3-DPG(umol-mL)'!P4/'Hbt(g-mL)'!T4</f>
        <v>0.61305064692187317</v>
      </c>
      <c r="Q4" s="45">
        <f>'2,3-DPG(umol-mL)'!Q4/'Hbt(g-mL)'!U4</f>
        <v>0.31398339598997493</v>
      </c>
      <c r="R4" s="45">
        <f>'2,3-DPG(umol-mL)'!R4/'Hbt(g-mL)'!V4</f>
        <v>0.35887470071827604</v>
      </c>
      <c r="S4" s="45">
        <f>'2,3-DPG(umol-mL)'!S4/'Hbt(g-mL)'!W4</f>
        <v>0.17771455153034099</v>
      </c>
      <c r="T4" s="45">
        <f>'2,3-DPG(umol-mL)'!T4/'Hbt(g-mL)'!X4</f>
        <v>0.21512246184323086</v>
      </c>
      <c r="U4" s="46">
        <f>'2,3-DPG(umol-mL)'!U4/'Hbt(g-mL)'!Y4</f>
        <v>0.11456592701265361</v>
      </c>
    </row>
    <row r="5" spans="1:21" x14ac:dyDescent="0.3">
      <c r="A5" s="8" t="s">
        <v>29</v>
      </c>
      <c r="B5" s="51">
        <f>'2,3-DPG(umol-mL)'!B5/'Hbt(g-mL)'!F5</f>
        <v>0.29702970297029702</v>
      </c>
      <c r="C5" s="45">
        <f>'2,3-DPG(umol-mL)'!C5/'Hbt(g-mL)'!G5</f>
        <v>0.23696682464454979</v>
      </c>
      <c r="D5" s="45">
        <f>'2,3-DPG(umol-mL)'!D5/'Hbt(g-mL)'!H5</f>
        <v>0.14423076923076925</v>
      </c>
      <c r="E5" s="45">
        <f>'2,3-DPG(umol-mL)'!E5/'Hbt(g-mL)'!I5</f>
        <v>0.15151515151515149</v>
      </c>
      <c r="F5" s="45">
        <f>'2,3-DPG(umol-mL)'!F5/'Hbt(g-mL)'!J5</f>
        <v>0.10362694300518134</v>
      </c>
      <c r="G5" s="45">
        <f>'2,3-DPG(umol-mL)'!G5/'Hbt(g-mL)'!K5</f>
        <v>0.10050251256281406</v>
      </c>
      <c r="H5" s="45">
        <f>'2,3-DPG(umol-mL)'!H5/'Hbt(g-mL)'!L5</f>
        <v>4.7855949397302783E-2</v>
      </c>
      <c r="I5" s="45">
        <f>'2,3-DPG(umol-mL)'!I5/'Hbt(g-mL)'!M5</f>
        <v>8.1435329897778158E-2</v>
      </c>
      <c r="J5" s="45">
        <f>'2,3-DPG(umol-mL)'!J5/'Hbt(g-mL)'!N5</f>
        <v>0.18214906015037591</v>
      </c>
      <c r="K5" s="45">
        <f>'2,3-DPG(umol-mL)'!K5/'Hbt(g-mL)'!O5</f>
        <v>0.10730864661654134</v>
      </c>
      <c r="L5" s="45">
        <f>'2,3-DPG(umol-mL)'!L5/'Hbt(g-mL)'!P5</f>
        <v>0.13240559732664994</v>
      </c>
      <c r="M5" s="45">
        <f>'2,3-DPG(umol-mL)'!M5/'Hbt(g-mL)'!Q5</f>
        <v>5.6868040354049694E-2</v>
      </c>
      <c r="N5" s="45">
        <f>'2,3-DPG(umol-mL)'!N5/'Hbt(g-mL)'!R5</f>
        <v>0.79420255183413069</v>
      </c>
      <c r="O5" s="45">
        <f>'2,3-DPG(umol-mL)'!O5/'Hbt(g-mL)'!S5</f>
        <v>0.79447500661200732</v>
      </c>
      <c r="P5" s="45">
        <f>'2,3-DPG(umol-mL)'!P5/'Hbt(g-mL)'!T5</f>
        <v>1.6839767637178051</v>
      </c>
      <c r="Q5" s="45">
        <f>'2,3-DPG(umol-mL)'!Q5/'Hbt(g-mL)'!U5</f>
        <v>1.0574631250256792</v>
      </c>
      <c r="R5" s="45">
        <f>'2,3-DPG(umol-mL)'!R5/'Hbt(g-mL)'!V5</f>
        <v>0.49114176570458401</v>
      </c>
      <c r="S5" s="45">
        <f>'2,3-DPG(umol-mL)'!S5/'Hbt(g-mL)'!W5</f>
        <v>0.32109717421515882</v>
      </c>
      <c r="T5" s="45">
        <f>'2,3-DPG(umol-mL)'!T5/'Hbt(g-mL)'!X5</f>
        <v>0.22224555802915114</v>
      </c>
      <c r="U5" s="46">
        <f>'2,3-DPG(umol-mL)'!U5/'Hbt(g-mL)'!Y5</f>
        <v>0.17699166394246482</v>
      </c>
    </row>
    <row r="6" spans="1:21" x14ac:dyDescent="0.3">
      <c r="A6" s="8" t="s">
        <v>30</v>
      </c>
      <c r="B6" s="33" t="s">
        <v>0</v>
      </c>
      <c r="C6" s="34" t="s">
        <v>0</v>
      </c>
      <c r="D6" s="34" t="s">
        <v>0</v>
      </c>
      <c r="E6" s="34" t="s">
        <v>0</v>
      </c>
      <c r="F6" s="34" t="s">
        <v>0</v>
      </c>
      <c r="G6" s="34" t="s">
        <v>0</v>
      </c>
      <c r="H6" s="45">
        <f>'2,3-DPG(umol-mL)'!H6/'Hbt(g-mL)'!L6</f>
        <v>1.6164997314715361</v>
      </c>
      <c r="I6" s="45">
        <f>'2,3-DPG(umol-mL)'!I6/'Hbt(g-mL)'!M6</f>
        <v>1.1544724583197126</v>
      </c>
      <c r="J6" s="45">
        <f>'2,3-DPG(umol-mL)'!J6/'Hbt(g-mL)'!N6</f>
        <v>0.53466165413533839</v>
      </c>
      <c r="K6" s="45">
        <f>'2,3-DPG(umol-mL)'!K6/'Hbt(g-mL)'!O6</f>
        <v>0.29716138687952109</v>
      </c>
      <c r="L6" s="45">
        <f>'2,3-DPG(umol-mL)'!L6/'Hbt(g-mL)'!P6</f>
        <v>9.1388349907025629E-2</v>
      </c>
      <c r="M6" s="45">
        <f>'2,3-DPG(umol-mL)'!M6/'Hbt(g-mL)'!Q6</f>
        <v>0.11563104189044038</v>
      </c>
      <c r="N6" s="45">
        <f>'2,3-DPG(umol-mL)'!N6/'Hbt(g-mL)'!R6</f>
        <v>0.61355707106963375</v>
      </c>
      <c r="O6" s="45">
        <f>'2,3-DPG(umol-mL)'!O6/'Hbt(g-mL)'!S6</f>
        <v>0.28684870713368787</v>
      </c>
      <c r="P6" s="45">
        <f>'2,3-DPG(umol-mL)'!P6/'Hbt(g-mL)'!T6</f>
        <v>0.25658670485738155</v>
      </c>
      <c r="Q6" s="45">
        <f>'2,3-DPG(umol-mL)'!Q6/'Hbt(g-mL)'!U6</f>
        <v>0.23204404453757349</v>
      </c>
      <c r="R6" s="45">
        <f>'2,3-DPG(umol-mL)'!R6/'Hbt(g-mL)'!V6</f>
        <v>0.17782183358949857</v>
      </c>
      <c r="S6" s="45">
        <f>'2,3-DPG(umol-mL)'!S6/'Hbt(g-mL)'!W6</f>
        <v>0.18073905142001928</v>
      </c>
      <c r="T6" s="45">
        <f>'2,3-DPG(umol-mL)'!T6/'Hbt(g-mL)'!X6</f>
        <v>0.11957679285934132</v>
      </c>
      <c r="U6" s="46">
        <f>'2,3-DPG(umol-mL)'!U6/'Hbt(g-mL)'!Y6</f>
        <v>1.0616082659478885</v>
      </c>
    </row>
    <row r="7" spans="1:21" x14ac:dyDescent="0.3">
      <c r="A7" s="8" t="s">
        <v>31</v>
      </c>
      <c r="B7" s="33" t="s">
        <v>0</v>
      </c>
      <c r="C7" s="34" t="s">
        <v>0</v>
      </c>
      <c r="D7" s="34" t="s">
        <v>0</v>
      </c>
      <c r="E7" s="34" t="s">
        <v>0</v>
      </c>
      <c r="F7" s="34" t="s">
        <v>0</v>
      </c>
      <c r="G7" s="34" t="s">
        <v>0</v>
      </c>
      <c r="H7" s="34" t="s">
        <v>0</v>
      </c>
      <c r="I7" s="34" t="s">
        <v>0</v>
      </c>
      <c r="J7" s="34" t="s">
        <v>0</v>
      </c>
      <c r="K7" s="34" t="s">
        <v>0</v>
      </c>
      <c r="L7" s="34" t="s">
        <v>0</v>
      </c>
      <c r="M7" s="34" t="s">
        <v>0</v>
      </c>
      <c r="N7" s="34" t="s">
        <v>0</v>
      </c>
      <c r="O7" s="34" t="s">
        <v>0</v>
      </c>
      <c r="P7" s="34" t="s">
        <v>0</v>
      </c>
      <c r="Q7" s="34" t="s">
        <v>0</v>
      </c>
      <c r="R7" s="34" t="s">
        <v>0</v>
      </c>
      <c r="S7" s="34" t="s">
        <v>0</v>
      </c>
      <c r="T7" s="34" t="s">
        <v>0</v>
      </c>
      <c r="U7" s="41" t="s">
        <v>0</v>
      </c>
    </row>
    <row r="8" spans="1:21" x14ac:dyDescent="0.3">
      <c r="A8" s="8" t="s">
        <v>34</v>
      </c>
      <c r="B8" s="33" t="s">
        <v>0</v>
      </c>
      <c r="C8" s="34" t="s">
        <v>0</v>
      </c>
      <c r="D8" s="34" t="s">
        <v>0</v>
      </c>
      <c r="E8" s="34" t="s">
        <v>0</v>
      </c>
      <c r="F8" s="34" t="s">
        <v>0</v>
      </c>
      <c r="G8" s="34" t="s">
        <v>0</v>
      </c>
      <c r="H8" s="34" t="s">
        <v>0</v>
      </c>
      <c r="I8" s="34" t="s">
        <v>0</v>
      </c>
      <c r="J8" s="34" t="s">
        <v>0</v>
      </c>
      <c r="K8" s="34" t="s">
        <v>0</v>
      </c>
      <c r="L8" s="34" t="s">
        <v>0</v>
      </c>
      <c r="M8" s="34" t="s">
        <v>0</v>
      </c>
      <c r="N8" s="34" t="s">
        <v>0</v>
      </c>
      <c r="O8" s="34" t="s">
        <v>0</v>
      </c>
      <c r="P8" s="34" t="s">
        <v>0</v>
      </c>
      <c r="Q8" s="34" t="s">
        <v>0</v>
      </c>
      <c r="R8" s="34" t="s">
        <v>0</v>
      </c>
      <c r="S8" s="34" t="s">
        <v>0</v>
      </c>
      <c r="T8" s="34" t="s">
        <v>0</v>
      </c>
      <c r="U8" s="41" t="s">
        <v>0</v>
      </c>
    </row>
    <row r="9" spans="1:21" x14ac:dyDescent="0.3">
      <c r="A9" s="8" t="s">
        <v>37</v>
      </c>
      <c r="B9" s="33" t="s">
        <v>0</v>
      </c>
      <c r="C9" s="34" t="s">
        <v>0</v>
      </c>
      <c r="D9" s="34" t="s">
        <v>0</v>
      </c>
      <c r="E9" s="34" t="s">
        <v>0</v>
      </c>
      <c r="F9" s="34" t="s">
        <v>0</v>
      </c>
      <c r="G9" s="34" t="s">
        <v>0</v>
      </c>
      <c r="H9" s="34" t="s">
        <v>0</v>
      </c>
      <c r="I9" s="34" t="s">
        <v>0</v>
      </c>
      <c r="J9" s="34" t="s">
        <v>0</v>
      </c>
      <c r="K9" s="34" t="s">
        <v>0</v>
      </c>
      <c r="L9" s="34" t="s">
        <v>0</v>
      </c>
      <c r="M9" s="34" t="s">
        <v>0</v>
      </c>
      <c r="N9" s="34" t="s">
        <v>0</v>
      </c>
      <c r="O9" s="34" t="s">
        <v>0</v>
      </c>
      <c r="P9" s="34" t="s">
        <v>0</v>
      </c>
      <c r="Q9" s="34" t="s">
        <v>0</v>
      </c>
      <c r="R9" s="34" t="s">
        <v>0</v>
      </c>
      <c r="S9" s="34" t="s">
        <v>0</v>
      </c>
      <c r="T9" s="34" t="s">
        <v>0</v>
      </c>
      <c r="U9" s="41" t="s">
        <v>0</v>
      </c>
    </row>
    <row r="10" spans="1:21" ht="15" thickBot="1" x14ac:dyDescent="0.35">
      <c r="A10" s="17" t="s">
        <v>39</v>
      </c>
      <c r="B10" s="36" t="s">
        <v>0</v>
      </c>
      <c r="C10" s="37" t="s">
        <v>0</v>
      </c>
      <c r="D10" s="37" t="s">
        <v>0</v>
      </c>
      <c r="E10" s="37" t="s">
        <v>0</v>
      </c>
      <c r="F10" s="37" t="s">
        <v>0</v>
      </c>
      <c r="G10" s="37" t="s">
        <v>0</v>
      </c>
      <c r="H10" s="37" t="s">
        <v>0</v>
      </c>
      <c r="I10" s="37" t="s">
        <v>0</v>
      </c>
      <c r="J10" s="37" t="s">
        <v>0</v>
      </c>
      <c r="K10" s="37" t="s">
        <v>0</v>
      </c>
      <c r="L10" s="37" t="s">
        <v>0</v>
      </c>
      <c r="M10" s="37" t="s">
        <v>0</v>
      </c>
      <c r="N10" s="37" t="s">
        <v>0</v>
      </c>
      <c r="O10" s="37" t="s">
        <v>0</v>
      </c>
      <c r="P10" s="37" t="s">
        <v>0</v>
      </c>
      <c r="Q10" s="37" t="s">
        <v>0</v>
      </c>
      <c r="R10" s="37" t="s">
        <v>0</v>
      </c>
      <c r="S10" s="37" t="s">
        <v>0</v>
      </c>
      <c r="T10" s="37" t="s">
        <v>0</v>
      </c>
      <c r="U10" s="42" t="s">
        <v>0</v>
      </c>
    </row>
    <row r="12" spans="1:21" x14ac:dyDescent="0.3">
      <c r="A12" s="23"/>
      <c r="B12" s="23"/>
      <c r="C12" s="23"/>
      <c r="D12" s="23"/>
      <c r="E12" s="23"/>
      <c r="F12" s="23"/>
      <c r="G12" s="23"/>
      <c r="H12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67EC-2642-4539-BE8F-3BD14B2D61C4}">
  <dimension ref="A1:U12"/>
  <sheetViews>
    <sheetView topLeftCell="E1" workbookViewId="0">
      <selection activeCell="J21" sqref="J21"/>
    </sheetView>
  </sheetViews>
  <sheetFormatPr baseColWidth="10" defaultColWidth="11.44140625" defaultRowHeight="14.4" x14ac:dyDescent="0.3"/>
  <cols>
    <col min="1" max="1" width="18.6640625" customWidth="1"/>
  </cols>
  <sheetData>
    <row r="1" spans="1:21" ht="15" thickBot="1" x14ac:dyDescent="0.35">
      <c r="A1" s="1" t="s">
        <v>42</v>
      </c>
      <c r="B1" s="28" t="s">
        <v>6</v>
      </c>
      <c r="C1" s="29" t="s">
        <v>7</v>
      </c>
      <c r="D1" s="29" t="s">
        <v>8</v>
      </c>
      <c r="E1" s="29" t="s">
        <v>9</v>
      </c>
      <c r="F1" s="29" t="s">
        <v>10</v>
      </c>
      <c r="G1" s="29" t="s">
        <v>11</v>
      </c>
      <c r="H1" s="29" t="s">
        <v>12</v>
      </c>
      <c r="I1" s="29" t="s">
        <v>13</v>
      </c>
      <c r="J1" s="29" t="s">
        <v>14</v>
      </c>
      <c r="K1" s="29" t="s">
        <v>15</v>
      </c>
      <c r="L1" s="29" t="s">
        <v>16</v>
      </c>
      <c r="M1" s="29" t="s">
        <v>17</v>
      </c>
      <c r="N1" s="29" t="s">
        <v>18</v>
      </c>
      <c r="O1" s="29" t="s">
        <v>19</v>
      </c>
      <c r="P1" s="29" t="s">
        <v>20</v>
      </c>
      <c r="Q1" s="29" t="s">
        <v>21</v>
      </c>
      <c r="R1" s="29" t="s">
        <v>22</v>
      </c>
      <c r="S1" s="29" t="s">
        <v>23</v>
      </c>
      <c r="T1" s="29" t="s">
        <v>24</v>
      </c>
      <c r="U1" s="30" t="s">
        <v>25</v>
      </c>
    </row>
    <row r="2" spans="1:21" x14ac:dyDescent="0.3">
      <c r="A2" s="47" t="s">
        <v>26</v>
      </c>
      <c r="B2" s="38">
        <v>1.19</v>
      </c>
      <c r="C2" s="39">
        <v>0.89</v>
      </c>
      <c r="D2" s="39">
        <v>1.71</v>
      </c>
      <c r="E2" s="39">
        <v>0.99</v>
      </c>
      <c r="F2" s="39">
        <v>1.3</v>
      </c>
      <c r="G2" s="39">
        <v>1.42</v>
      </c>
      <c r="H2" s="39">
        <v>0.24443665413533835</v>
      </c>
      <c r="I2" s="39">
        <v>2.7199978195488721</v>
      </c>
      <c r="J2" s="39">
        <v>0.82315755639097743</v>
      </c>
      <c r="K2" s="39">
        <v>1.7442632706766916</v>
      </c>
      <c r="L2" s="39">
        <v>0.73300597744360907</v>
      </c>
      <c r="M2" s="39">
        <v>1.3502743233082706</v>
      </c>
      <c r="N2" s="39">
        <v>0.37559248120300753</v>
      </c>
      <c r="O2" s="39">
        <v>0.51395744360902262</v>
      </c>
      <c r="P2" s="39">
        <v>0.59739105263157888</v>
      </c>
      <c r="Q2" s="39">
        <v>0.48198672932330827</v>
      </c>
      <c r="R2" s="39">
        <v>0.4791643609022555</v>
      </c>
      <c r="S2" s="39">
        <v>0.15507436090225565</v>
      </c>
      <c r="T2" s="39">
        <v>0.5050460902255639</v>
      </c>
      <c r="U2" s="40">
        <v>0.35990842105263154</v>
      </c>
    </row>
    <row r="3" spans="1:21" x14ac:dyDescent="0.3">
      <c r="A3" s="48" t="s">
        <v>27</v>
      </c>
      <c r="B3" s="31">
        <v>1.1599999999999999</v>
      </c>
      <c r="C3" s="32">
        <v>0.51</v>
      </c>
      <c r="D3" s="32">
        <v>0.65</v>
      </c>
      <c r="E3" s="32">
        <v>0.27</v>
      </c>
      <c r="F3" s="32">
        <v>0.42</v>
      </c>
      <c r="G3" s="32">
        <v>0.31</v>
      </c>
      <c r="H3" s="32">
        <v>4.3728872180451121E-2</v>
      </c>
      <c r="I3" s="32">
        <v>0.12109939849624057</v>
      </c>
      <c r="J3" s="32">
        <v>0.14521195488721805</v>
      </c>
      <c r="K3" s="32">
        <v>0.12581898496240604</v>
      </c>
      <c r="L3" s="32">
        <v>5.0799210526315801E-2</v>
      </c>
      <c r="M3" s="32">
        <v>6.6292180451127822E-2</v>
      </c>
      <c r="N3" s="32">
        <v>0.40242672932330831</v>
      </c>
      <c r="O3" s="32">
        <v>0.25789703007518799</v>
      </c>
      <c r="P3" s="32">
        <v>0.15799545112781954</v>
      </c>
      <c r="Q3" s="32">
        <v>0.21386172932330827</v>
      </c>
      <c r="R3" s="32">
        <v>0.17749740601503761</v>
      </c>
      <c r="S3" s="32">
        <v>6.5628007518797007E-2</v>
      </c>
      <c r="T3" s="32">
        <v>0.14854308270676692</v>
      </c>
      <c r="U3" s="35">
        <v>9.906293233082708E-2</v>
      </c>
    </row>
    <row r="4" spans="1:21" x14ac:dyDescent="0.3">
      <c r="A4" s="48" t="s">
        <v>43</v>
      </c>
      <c r="B4" s="31">
        <v>0.31</v>
      </c>
      <c r="C4" s="32">
        <v>0.15</v>
      </c>
      <c r="D4" s="32">
        <v>0.18</v>
      </c>
      <c r="E4" s="32">
        <v>0.31</v>
      </c>
      <c r="F4" s="32">
        <v>0.24</v>
      </c>
      <c r="G4" s="32">
        <v>0.11</v>
      </c>
      <c r="H4" s="32">
        <v>3.7844172932330826E-2</v>
      </c>
      <c r="I4" s="32">
        <v>7.6241090225563912E-2</v>
      </c>
      <c r="J4" s="32">
        <v>9.2729097744360903E-2</v>
      </c>
      <c r="K4" s="32">
        <v>5.7213684210526312E-2</v>
      </c>
      <c r="L4" s="32">
        <v>1.7914586466165415E-2</v>
      </c>
      <c r="M4" s="32">
        <v>1.8143308270676693E-2</v>
      </c>
      <c r="N4" s="32">
        <v>0.22948078947368419</v>
      </c>
      <c r="O4" s="32">
        <v>0.13423477443609022</v>
      </c>
      <c r="P4" s="32">
        <v>0.12077097744360901</v>
      </c>
      <c r="Q4" s="32">
        <v>6.0284812030075186E-2</v>
      </c>
      <c r="R4" s="32">
        <v>6.4238571428571409E-2</v>
      </c>
      <c r="S4" s="32">
        <v>3.518748120300752E-2</v>
      </c>
      <c r="T4" s="32">
        <v>3.5925451127819558E-2</v>
      </c>
      <c r="U4" s="35">
        <v>2.3486015037593989E-2</v>
      </c>
    </row>
    <row r="5" spans="1:21" x14ac:dyDescent="0.3">
      <c r="A5" s="48" t="s">
        <v>29</v>
      </c>
      <c r="B5" s="31">
        <v>0.06</v>
      </c>
      <c r="C5" s="32">
        <v>0.05</v>
      </c>
      <c r="D5" s="32">
        <v>0.03</v>
      </c>
      <c r="E5" s="32">
        <v>0.03</v>
      </c>
      <c r="F5" s="32">
        <v>0.02</v>
      </c>
      <c r="G5" s="32">
        <v>0.02</v>
      </c>
      <c r="H5" s="32">
        <v>9.0447744360902266E-3</v>
      </c>
      <c r="I5" s="32">
        <v>1.4495488721804511E-2</v>
      </c>
      <c r="J5" s="32">
        <v>3.6429812030075184E-2</v>
      </c>
      <c r="K5" s="32">
        <v>2.1461729323308268E-2</v>
      </c>
      <c r="L5" s="32">
        <v>2.3833007518796991E-2</v>
      </c>
      <c r="M5" s="32">
        <v>8.9851503759398512E-3</v>
      </c>
      <c r="N5" s="32">
        <v>0.15725210526315789</v>
      </c>
      <c r="O5" s="32">
        <v>0.15810052631578947</v>
      </c>
      <c r="P5" s="32">
        <v>0.31658763157894737</v>
      </c>
      <c r="Q5" s="32">
        <v>0.19351575187969927</v>
      </c>
      <c r="R5" s="32">
        <v>9.1352368421052627E-2</v>
      </c>
      <c r="S5" s="32">
        <v>6.7751503759398507E-2</v>
      </c>
      <c r="T5" s="32">
        <v>3.978195488721805E-2</v>
      </c>
      <c r="U5" s="35">
        <v>3.2566466165413525E-2</v>
      </c>
    </row>
    <row r="6" spans="1:21" x14ac:dyDescent="0.3">
      <c r="A6" s="48" t="s">
        <v>30</v>
      </c>
      <c r="B6" s="33" t="s">
        <v>0</v>
      </c>
      <c r="C6" s="34" t="s">
        <v>0</v>
      </c>
      <c r="D6" s="34" t="s">
        <v>0</v>
      </c>
      <c r="E6" s="34" t="s">
        <v>0</v>
      </c>
      <c r="F6" s="34" t="s">
        <v>0</v>
      </c>
      <c r="G6" s="34" t="s">
        <v>0</v>
      </c>
      <c r="H6" s="32">
        <v>0.31683394736842108</v>
      </c>
      <c r="I6" s="32">
        <v>0.2124229323308271</v>
      </c>
      <c r="J6" s="32">
        <v>0.10960563909774436</v>
      </c>
      <c r="K6" s="32">
        <v>6.2701052631578949E-2</v>
      </c>
      <c r="L6" s="32">
        <v>1.6998233082706767E-2</v>
      </c>
      <c r="M6" s="32">
        <v>2.1044849624060148E-2</v>
      </c>
      <c r="N6" s="32">
        <v>0.12209785714285713</v>
      </c>
      <c r="O6" s="32">
        <v>5.8803984962406013E-2</v>
      </c>
      <c r="P6" s="32">
        <v>4.8494887218045117E-2</v>
      </c>
      <c r="Q6" s="32">
        <v>4.2464060150375946E-2</v>
      </c>
      <c r="R6" s="32">
        <v>3.2185751879699243E-2</v>
      </c>
      <c r="S6" s="32">
        <v>3.8135939849624066E-2</v>
      </c>
      <c r="T6" s="32">
        <v>2.0447631578947367E-2</v>
      </c>
      <c r="U6" s="35">
        <v>0.16879571428571427</v>
      </c>
    </row>
    <row r="7" spans="1:21" x14ac:dyDescent="0.3">
      <c r="A7" s="48" t="s">
        <v>31</v>
      </c>
      <c r="B7" s="33" t="s">
        <v>0</v>
      </c>
      <c r="C7" s="34" t="s">
        <v>0</v>
      </c>
      <c r="D7" s="34" t="s">
        <v>0</v>
      </c>
      <c r="E7" s="34" t="s">
        <v>0</v>
      </c>
      <c r="F7" s="34" t="s">
        <v>0</v>
      </c>
      <c r="G7" s="34" t="s">
        <v>0</v>
      </c>
      <c r="H7" s="34" t="s">
        <v>0</v>
      </c>
      <c r="I7" s="34" t="s">
        <v>0</v>
      </c>
      <c r="J7" s="34" t="s">
        <v>0</v>
      </c>
      <c r="K7" s="34" t="s">
        <v>0</v>
      </c>
      <c r="L7" s="34" t="s">
        <v>0</v>
      </c>
      <c r="M7" s="34" t="s">
        <v>0</v>
      </c>
      <c r="N7" s="34" t="s">
        <v>0</v>
      </c>
      <c r="O7" s="34" t="s">
        <v>0</v>
      </c>
      <c r="P7" s="34" t="s">
        <v>0</v>
      </c>
      <c r="Q7" s="34" t="s">
        <v>0</v>
      </c>
      <c r="R7" s="34" t="s">
        <v>0</v>
      </c>
      <c r="S7" s="34" t="s">
        <v>0</v>
      </c>
      <c r="T7" s="34" t="s">
        <v>0</v>
      </c>
      <c r="U7" s="41" t="s">
        <v>0</v>
      </c>
    </row>
    <row r="8" spans="1:21" x14ac:dyDescent="0.3">
      <c r="A8" s="48" t="s">
        <v>34</v>
      </c>
      <c r="B8" s="33" t="s">
        <v>0</v>
      </c>
      <c r="C8" s="34" t="s">
        <v>0</v>
      </c>
      <c r="D8" s="34" t="s">
        <v>0</v>
      </c>
      <c r="E8" s="34" t="s">
        <v>0</v>
      </c>
      <c r="F8" s="34" t="s">
        <v>0</v>
      </c>
      <c r="G8" s="34" t="s">
        <v>0</v>
      </c>
      <c r="H8" s="34" t="s">
        <v>0</v>
      </c>
      <c r="I8" s="34" t="s">
        <v>0</v>
      </c>
      <c r="J8" s="34" t="s">
        <v>0</v>
      </c>
      <c r="K8" s="34" t="s">
        <v>0</v>
      </c>
      <c r="L8" s="34" t="s">
        <v>0</v>
      </c>
      <c r="M8" s="34" t="s">
        <v>0</v>
      </c>
      <c r="N8" s="34" t="s">
        <v>0</v>
      </c>
      <c r="O8" s="34" t="s">
        <v>0</v>
      </c>
      <c r="P8" s="34" t="s">
        <v>0</v>
      </c>
      <c r="Q8" s="34" t="s">
        <v>0</v>
      </c>
      <c r="R8" s="34" t="s">
        <v>0</v>
      </c>
      <c r="S8" s="34" t="s">
        <v>0</v>
      </c>
      <c r="T8" s="34" t="s">
        <v>0</v>
      </c>
      <c r="U8" s="41" t="s">
        <v>0</v>
      </c>
    </row>
    <row r="9" spans="1:21" x14ac:dyDescent="0.3">
      <c r="A9" s="48" t="s">
        <v>37</v>
      </c>
      <c r="B9" s="33" t="s">
        <v>0</v>
      </c>
      <c r="C9" s="34" t="s">
        <v>0</v>
      </c>
      <c r="D9" s="34" t="s">
        <v>0</v>
      </c>
      <c r="E9" s="34" t="s">
        <v>0</v>
      </c>
      <c r="F9" s="34" t="s">
        <v>0</v>
      </c>
      <c r="G9" s="34" t="s">
        <v>0</v>
      </c>
      <c r="H9" s="34" t="s">
        <v>0</v>
      </c>
      <c r="I9" s="34" t="s">
        <v>0</v>
      </c>
      <c r="J9" s="34" t="s">
        <v>0</v>
      </c>
      <c r="K9" s="34" t="s">
        <v>0</v>
      </c>
      <c r="L9" s="34" t="s">
        <v>0</v>
      </c>
      <c r="M9" s="34" t="s">
        <v>0</v>
      </c>
      <c r="N9" s="34" t="s">
        <v>0</v>
      </c>
      <c r="O9" s="34" t="s">
        <v>0</v>
      </c>
      <c r="P9" s="34" t="s">
        <v>0</v>
      </c>
      <c r="Q9" s="34" t="s">
        <v>0</v>
      </c>
      <c r="R9" s="34" t="s">
        <v>0</v>
      </c>
      <c r="S9" s="34" t="s">
        <v>0</v>
      </c>
      <c r="T9" s="34" t="s">
        <v>0</v>
      </c>
      <c r="U9" s="41" t="s">
        <v>0</v>
      </c>
    </row>
    <row r="10" spans="1:21" ht="15" thickBot="1" x14ac:dyDescent="0.35">
      <c r="A10" s="49" t="s">
        <v>39</v>
      </c>
      <c r="B10" s="36" t="s">
        <v>0</v>
      </c>
      <c r="C10" s="37" t="s">
        <v>0</v>
      </c>
      <c r="D10" s="37" t="s">
        <v>0</v>
      </c>
      <c r="E10" s="37" t="s">
        <v>0</v>
      </c>
      <c r="F10" s="37" t="s">
        <v>0</v>
      </c>
      <c r="G10" s="37" t="s">
        <v>0</v>
      </c>
      <c r="H10" s="37" t="s">
        <v>0</v>
      </c>
      <c r="I10" s="37" t="s">
        <v>0</v>
      </c>
      <c r="J10" s="37" t="s">
        <v>0</v>
      </c>
      <c r="K10" s="37" t="s">
        <v>0</v>
      </c>
      <c r="L10" s="37" t="s">
        <v>0</v>
      </c>
      <c r="M10" s="37" t="s">
        <v>0</v>
      </c>
      <c r="N10" s="37" t="s">
        <v>0</v>
      </c>
      <c r="O10" s="37" t="s">
        <v>0</v>
      </c>
      <c r="P10" s="37" t="s">
        <v>0</v>
      </c>
      <c r="Q10" s="37" t="s">
        <v>0</v>
      </c>
      <c r="R10" s="37" t="s">
        <v>0</v>
      </c>
      <c r="S10" s="37" t="s">
        <v>0</v>
      </c>
      <c r="T10" s="37" t="s">
        <v>0</v>
      </c>
      <c r="U10" s="42" t="s">
        <v>0</v>
      </c>
    </row>
    <row r="12" spans="1:21" x14ac:dyDescent="0.3">
      <c r="A12" s="23"/>
      <c r="B12" s="23"/>
      <c r="C12" s="23"/>
      <c r="D12" s="23"/>
      <c r="E12" s="23"/>
      <c r="F12" s="23"/>
      <c r="G12" s="23"/>
      <c r="H12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AC24-A251-482A-A6FC-5DF04E31816B}">
  <dimension ref="A1:Y17"/>
  <sheetViews>
    <sheetView workbookViewId="0">
      <selection activeCell="E4" sqref="E4"/>
    </sheetView>
  </sheetViews>
  <sheetFormatPr baseColWidth="10" defaultColWidth="11.44140625" defaultRowHeight="14.4" x14ac:dyDescent="0.3"/>
  <cols>
    <col min="1" max="1" width="12.44140625" customWidth="1"/>
  </cols>
  <sheetData>
    <row r="1" spans="1:25" ht="15" thickBot="1" x14ac:dyDescent="0.35">
      <c r="A1" s="1" t="s">
        <v>1</v>
      </c>
      <c r="B1" s="2" t="s">
        <v>2</v>
      </c>
      <c r="C1" s="3" t="s">
        <v>3</v>
      </c>
      <c r="D1" s="2" t="s">
        <v>4</v>
      </c>
      <c r="E1" s="3" t="s">
        <v>5</v>
      </c>
      <c r="F1" s="2" t="s">
        <v>6</v>
      </c>
      <c r="G1" s="3" t="s">
        <v>7</v>
      </c>
      <c r="H1" s="2" t="s">
        <v>8</v>
      </c>
      <c r="I1" s="3" t="s">
        <v>9</v>
      </c>
      <c r="J1" s="2" t="s">
        <v>10</v>
      </c>
      <c r="K1" s="3" t="s">
        <v>11</v>
      </c>
      <c r="L1" s="2" t="s">
        <v>12</v>
      </c>
      <c r="M1" s="3" t="s">
        <v>13</v>
      </c>
      <c r="N1" s="2" t="s">
        <v>14</v>
      </c>
      <c r="O1" s="3" t="s">
        <v>15</v>
      </c>
      <c r="P1" s="2" t="s">
        <v>16</v>
      </c>
      <c r="Q1" s="3" t="s">
        <v>17</v>
      </c>
      <c r="R1" s="2" t="s">
        <v>18</v>
      </c>
      <c r="S1" s="3" t="s">
        <v>19</v>
      </c>
      <c r="T1" s="2" t="s">
        <v>20</v>
      </c>
      <c r="U1" s="3" t="s">
        <v>21</v>
      </c>
      <c r="V1" s="2" t="s">
        <v>22</v>
      </c>
      <c r="W1" s="3" t="s">
        <v>23</v>
      </c>
      <c r="X1" s="2" t="s">
        <v>24</v>
      </c>
      <c r="Y1" s="3" t="s">
        <v>25</v>
      </c>
    </row>
    <row r="2" spans="1:25" x14ac:dyDescent="0.3">
      <c r="A2" s="4" t="s">
        <v>26</v>
      </c>
      <c r="B2" s="5">
        <v>205</v>
      </c>
      <c r="C2" s="6">
        <v>207</v>
      </c>
      <c r="D2" s="6">
        <v>207</v>
      </c>
      <c r="E2" s="6">
        <v>190</v>
      </c>
      <c r="F2" s="6">
        <v>207</v>
      </c>
      <c r="G2" s="6">
        <v>208</v>
      </c>
      <c r="H2" s="6">
        <v>204</v>
      </c>
      <c r="I2" s="6">
        <v>194</v>
      </c>
      <c r="J2" s="6">
        <v>191</v>
      </c>
      <c r="K2" s="6">
        <v>196</v>
      </c>
      <c r="L2" s="6">
        <v>194</v>
      </c>
      <c r="M2" s="6">
        <v>185</v>
      </c>
      <c r="N2" s="6">
        <v>205</v>
      </c>
      <c r="O2" s="6">
        <v>206</v>
      </c>
      <c r="P2" s="6">
        <v>185</v>
      </c>
      <c r="Q2" s="6">
        <v>162</v>
      </c>
      <c r="R2" s="6">
        <v>179</v>
      </c>
      <c r="S2" s="6">
        <v>205</v>
      </c>
      <c r="T2" s="6">
        <v>188</v>
      </c>
      <c r="U2" s="6">
        <v>188</v>
      </c>
      <c r="V2" s="6">
        <v>191</v>
      </c>
      <c r="W2" s="6">
        <v>202</v>
      </c>
      <c r="X2" s="6">
        <v>179</v>
      </c>
      <c r="Y2" s="7">
        <v>190</v>
      </c>
    </row>
    <row r="3" spans="1:25" x14ac:dyDescent="0.3">
      <c r="A3" s="8" t="s">
        <v>27</v>
      </c>
      <c r="B3" s="9">
        <v>206</v>
      </c>
      <c r="C3" s="10">
        <v>207</v>
      </c>
      <c r="D3" s="10">
        <v>209</v>
      </c>
      <c r="E3" s="10">
        <v>193</v>
      </c>
      <c r="F3" s="10">
        <v>216</v>
      </c>
      <c r="G3" s="10">
        <v>208</v>
      </c>
      <c r="H3" s="10">
        <v>206</v>
      </c>
      <c r="I3" s="10">
        <v>198</v>
      </c>
      <c r="J3" s="10">
        <v>194</v>
      </c>
      <c r="K3" s="10">
        <v>199</v>
      </c>
      <c r="L3" s="10">
        <v>195</v>
      </c>
      <c r="M3" s="10">
        <v>200</v>
      </c>
      <c r="N3" s="10">
        <v>216</v>
      </c>
      <c r="O3" s="10">
        <v>211</v>
      </c>
      <c r="P3" s="10">
        <v>187</v>
      </c>
      <c r="Q3" s="10">
        <v>216</v>
      </c>
      <c r="R3" s="10">
        <v>193</v>
      </c>
      <c r="S3" s="10">
        <v>224</v>
      </c>
      <c r="T3" s="10">
        <v>216</v>
      </c>
      <c r="U3" s="10">
        <v>211</v>
      </c>
      <c r="V3" s="10">
        <v>208</v>
      </c>
      <c r="W3" s="10">
        <v>223</v>
      </c>
      <c r="X3" s="10">
        <v>194</v>
      </c>
      <c r="Y3" s="11">
        <v>175</v>
      </c>
    </row>
    <row r="4" spans="1:25" x14ac:dyDescent="0.3">
      <c r="A4" s="8" t="s">
        <v>28</v>
      </c>
      <c r="B4" s="9">
        <v>205</v>
      </c>
      <c r="C4" s="10">
        <v>206</v>
      </c>
      <c r="D4" s="10">
        <v>209</v>
      </c>
      <c r="E4" s="10">
        <v>194</v>
      </c>
      <c r="F4" s="10">
        <v>191</v>
      </c>
      <c r="G4" s="10">
        <v>209</v>
      </c>
      <c r="H4" s="10">
        <v>203</v>
      </c>
      <c r="I4" s="10">
        <v>198</v>
      </c>
      <c r="J4" s="10">
        <v>193</v>
      </c>
      <c r="K4" s="10">
        <v>200</v>
      </c>
      <c r="L4" s="10">
        <v>218</v>
      </c>
      <c r="M4" s="10">
        <v>201</v>
      </c>
      <c r="N4" s="10">
        <v>201</v>
      </c>
      <c r="O4" s="10">
        <v>204</v>
      </c>
      <c r="P4" s="10">
        <v>181</v>
      </c>
      <c r="Q4" s="10">
        <v>180</v>
      </c>
      <c r="R4" s="10">
        <v>212</v>
      </c>
      <c r="S4" s="10">
        <v>204</v>
      </c>
      <c r="T4" s="10">
        <v>197</v>
      </c>
      <c r="U4" s="10">
        <v>192</v>
      </c>
      <c r="V4" s="10">
        <v>179</v>
      </c>
      <c r="W4" s="10">
        <v>198</v>
      </c>
      <c r="X4" s="10">
        <v>167</v>
      </c>
      <c r="Y4" s="11">
        <v>205</v>
      </c>
    </row>
    <row r="5" spans="1:25" x14ac:dyDescent="0.3">
      <c r="A5" s="8" t="s">
        <v>29</v>
      </c>
      <c r="B5" s="9">
        <v>202</v>
      </c>
      <c r="C5" s="10">
        <v>204</v>
      </c>
      <c r="D5" s="10">
        <v>209</v>
      </c>
      <c r="E5" s="10">
        <v>194</v>
      </c>
      <c r="F5" s="10">
        <v>202</v>
      </c>
      <c r="G5" s="10">
        <v>211</v>
      </c>
      <c r="H5" s="10">
        <v>208</v>
      </c>
      <c r="I5" s="10">
        <v>198</v>
      </c>
      <c r="J5" s="10">
        <v>193</v>
      </c>
      <c r="K5" s="10">
        <v>199</v>
      </c>
      <c r="L5" s="10">
        <v>189</v>
      </c>
      <c r="M5" s="10">
        <v>178</v>
      </c>
      <c r="N5" s="10">
        <v>200</v>
      </c>
      <c r="O5" s="10">
        <v>200</v>
      </c>
      <c r="P5" s="10">
        <v>180</v>
      </c>
      <c r="Q5" s="10">
        <v>158</v>
      </c>
      <c r="R5" s="10">
        <v>198</v>
      </c>
      <c r="S5" s="10">
        <v>199</v>
      </c>
      <c r="T5" s="10">
        <v>188</v>
      </c>
      <c r="U5" s="10">
        <v>183</v>
      </c>
      <c r="V5" s="10">
        <v>186</v>
      </c>
      <c r="W5" s="10">
        <v>211</v>
      </c>
      <c r="X5" s="10">
        <v>179</v>
      </c>
      <c r="Y5" s="11">
        <v>184</v>
      </c>
    </row>
    <row r="6" spans="1:25" x14ac:dyDescent="0.3">
      <c r="A6" s="8" t="s">
        <v>30</v>
      </c>
      <c r="B6" s="9">
        <v>207</v>
      </c>
      <c r="C6" s="10">
        <v>207</v>
      </c>
      <c r="D6" s="10">
        <v>210</v>
      </c>
      <c r="E6" s="10">
        <v>194</v>
      </c>
      <c r="F6" s="10">
        <v>208</v>
      </c>
      <c r="G6" s="10">
        <v>209</v>
      </c>
      <c r="H6" s="10">
        <v>208</v>
      </c>
      <c r="I6" s="10">
        <v>198</v>
      </c>
      <c r="J6" s="10">
        <v>193</v>
      </c>
      <c r="K6" s="10">
        <v>198</v>
      </c>
      <c r="L6" s="10">
        <v>196</v>
      </c>
      <c r="M6" s="10">
        <v>184</v>
      </c>
      <c r="N6" s="10">
        <v>205</v>
      </c>
      <c r="O6" s="10">
        <v>211</v>
      </c>
      <c r="P6" s="10">
        <v>186</v>
      </c>
      <c r="Q6" s="10">
        <v>182</v>
      </c>
      <c r="R6" s="10">
        <v>199</v>
      </c>
      <c r="S6" s="10">
        <v>205</v>
      </c>
      <c r="T6" s="10">
        <v>189</v>
      </c>
      <c r="U6" s="10">
        <v>183</v>
      </c>
      <c r="V6" s="10">
        <v>181</v>
      </c>
      <c r="W6" s="10">
        <v>211</v>
      </c>
      <c r="X6" s="10">
        <v>171</v>
      </c>
      <c r="Y6" s="11">
        <v>159</v>
      </c>
    </row>
    <row r="7" spans="1:25" x14ac:dyDescent="0.3">
      <c r="A7" s="8" t="s">
        <v>31</v>
      </c>
      <c r="B7" s="9">
        <v>211</v>
      </c>
      <c r="C7" s="10">
        <v>209</v>
      </c>
      <c r="D7" s="10">
        <v>212</v>
      </c>
      <c r="E7" s="10">
        <v>195</v>
      </c>
      <c r="F7" s="10">
        <v>209</v>
      </c>
      <c r="G7" s="10">
        <v>209</v>
      </c>
      <c r="H7" s="10">
        <v>206</v>
      </c>
      <c r="I7" s="10">
        <v>195</v>
      </c>
      <c r="J7" s="10">
        <v>192</v>
      </c>
      <c r="K7" s="10">
        <v>196</v>
      </c>
      <c r="L7" s="10">
        <v>191</v>
      </c>
      <c r="M7" s="10">
        <v>181</v>
      </c>
      <c r="N7" s="10">
        <v>205</v>
      </c>
      <c r="O7" s="10">
        <v>202</v>
      </c>
      <c r="P7" s="10">
        <v>182</v>
      </c>
      <c r="Q7" s="10">
        <v>175</v>
      </c>
      <c r="R7" s="10">
        <v>200</v>
      </c>
      <c r="S7" s="10">
        <v>205</v>
      </c>
      <c r="T7" s="10">
        <v>154</v>
      </c>
      <c r="U7" s="10">
        <v>185</v>
      </c>
      <c r="V7" s="10">
        <v>195</v>
      </c>
      <c r="W7" s="10">
        <v>182</v>
      </c>
      <c r="X7" s="10">
        <v>159</v>
      </c>
      <c r="Y7" s="11">
        <v>188</v>
      </c>
    </row>
    <row r="8" spans="1:25" x14ac:dyDescent="0.3">
      <c r="A8" s="8" t="s">
        <v>32</v>
      </c>
      <c r="B8" s="12"/>
      <c r="C8" s="13"/>
      <c r="D8" s="13"/>
      <c r="E8" s="13"/>
      <c r="F8" s="10">
        <v>209</v>
      </c>
      <c r="G8" s="10">
        <v>211</v>
      </c>
      <c r="H8" s="10">
        <v>208</v>
      </c>
      <c r="I8" s="10">
        <v>198</v>
      </c>
      <c r="J8" s="10">
        <v>194</v>
      </c>
      <c r="K8" s="10">
        <v>199</v>
      </c>
      <c r="L8" s="10">
        <v>191</v>
      </c>
      <c r="M8" s="10">
        <v>179</v>
      </c>
      <c r="N8" s="10">
        <v>202</v>
      </c>
      <c r="O8" s="10">
        <v>203</v>
      </c>
      <c r="P8" s="10">
        <v>184</v>
      </c>
      <c r="Q8" s="10">
        <v>181</v>
      </c>
      <c r="R8" s="10">
        <v>199</v>
      </c>
      <c r="S8" s="10">
        <v>205</v>
      </c>
      <c r="T8" s="10">
        <v>179</v>
      </c>
      <c r="U8" s="10">
        <v>188</v>
      </c>
      <c r="V8" s="10">
        <v>199</v>
      </c>
      <c r="W8" s="10">
        <v>196</v>
      </c>
      <c r="X8" s="10">
        <v>170</v>
      </c>
      <c r="Y8" s="11">
        <v>191</v>
      </c>
    </row>
    <row r="9" spans="1:25" x14ac:dyDescent="0.3">
      <c r="A9" s="8" t="s">
        <v>33</v>
      </c>
      <c r="B9" s="9">
        <v>206</v>
      </c>
      <c r="C9" s="10">
        <v>206</v>
      </c>
      <c r="D9" s="10">
        <v>208</v>
      </c>
      <c r="E9" s="10">
        <v>192</v>
      </c>
      <c r="F9" s="10">
        <v>211</v>
      </c>
      <c r="G9" s="10">
        <v>210</v>
      </c>
      <c r="H9" s="10">
        <v>207</v>
      </c>
      <c r="I9" s="10">
        <v>196</v>
      </c>
      <c r="J9" s="10">
        <v>194</v>
      </c>
      <c r="K9" s="10">
        <v>200</v>
      </c>
      <c r="L9" s="10">
        <v>190</v>
      </c>
      <c r="M9" s="10">
        <v>184</v>
      </c>
      <c r="N9" s="10">
        <v>204</v>
      </c>
      <c r="O9" s="10">
        <v>197</v>
      </c>
      <c r="P9" s="10">
        <v>180</v>
      </c>
      <c r="Q9" s="10">
        <v>179</v>
      </c>
      <c r="R9" s="10">
        <v>195</v>
      </c>
      <c r="S9" s="10">
        <v>204</v>
      </c>
      <c r="T9" s="10">
        <v>206</v>
      </c>
      <c r="U9" s="10">
        <v>188</v>
      </c>
      <c r="V9" s="10">
        <v>198</v>
      </c>
      <c r="W9" s="10">
        <v>197</v>
      </c>
      <c r="X9" s="10">
        <v>167</v>
      </c>
      <c r="Y9" s="11">
        <v>187</v>
      </c>
    </row>
    <row r="10" spans="1:25" x14ac:dyDescent="0.3">
      <c r="A10" s="8" t="s">
        <v>34</v>
      </c>
      <c r="B10" s="9">
        <v>205</v>
      </c>
      <c r="C10" s="10">
        <v>206</v>
      </c>
      <c r="D10" s="10">
        <v>208</v>
      </c>
      <c r="E10" s="10">
        <v>192</v>
      </c>
      <c r="F10" s="10">
        <v>210</v>
      </c>
      <c r="G10" s="10">
        <v>205</v>
      </c>
      <c r="H10" s="10">
        <v>208</v>
      </c>
      <c r="I10" s="10">
        <v>200</v>
      </c>
      <c r="J10" s="10">
        <v>194</v>
      </c>
      <c r="K10" s="10">
        <v>198</v>
      </c>
      <c r="L10" s="10">
        <v>190</v>
      </c>
      <c r="M10" s="10">
        <v>183</v>
      </c>
      <c r="N10" s="10">
        <v>203</v>
      </c>
      <c r="O10" s="10">
        <v>199</v>
      </c>
      <c r="P10" s="10">
        <v>185</v>
      </c>
      <c r="Q10" s="10">
        <v>177</v>
      </c>
      <c r="R10" s="10">
        <v>203</v>
      </c>
      <c r="S10" s="10">
        <v>206</v>
      </c>
      <c r="T10" s="10">
        <v>176</v>
      </c>
      <c r="U10" s="10">
        <v>189</v>
      </c>
      <c r="V10" s="10">
        <v>198</v>
      </c>
      <c r="W10" s="10">
        <v>196</v>
      </c>
      <c r="X10" s="10">
        <v>176</v>
      </c>
      <c r="Y10" s="11">
        <v>194</v>
      </c>
    </row>
    <row r="11" spans="1:25" x14ac:dyDescent="0.3">
      <c r="A11" s="8" t="s">
        <v>35</v>
      </c>
      <c r="B11" s="9">
        <v>205</v>
      </c>
      <c r="C11" s="10">
        <v>206</v>
      </c>
      <c r="D11" s="10">
        <v>208</v>
      </c>
      <c r="E11" s="10">
        <v>192</v>
      </c>
      <c r="F11" s="10">
        <v>210</v>
      </c>
      <c r="G11" s="10">
        <v>208</v>
      </c>
      <c r="H11" s="10">
        <v>205</v>
      </c>
      <c r="I11" s="10">
        <v>195</v>
      </c>
      <c r="J11" s="10">
        <v>194</v>
      </c>
      <c r="K11" s="10">
        <v>198</v>
      </c>
      <c r="L11" s="10">
        <v>190</v>
      </c>
      <c r="M11" s="10">
        <v>182</v>
      </c>
      <c r="N11" s="10">
        <v>204</v>
      </c>
      <c r="O11" s="10">
        <v>204</v>
      </c>
      <c r="P11" s="10">
        <v>182</v>
      </c>
      <c r="Q11" s="10">
        <v>178</v>
      </c>
      <c r="R11" s="10">
        <v>206</v>
      </c>
      <c r="S11" s="10">
        <v>210</v>
      </c>
      <c r="T11" s="10">
        <v>187</v>
      </c>
      <c r="U11" s="10">
        <v>193</v>
      </c>
      <c r="V11" s="10">
        <v>203</v>
      </c>
      <c r="W11" s="10">
        <v>202</v>
      </c>
      <c r="X11" s="10">
        <v>180</v>
      </c>
      <c r="Y11" s="11">
        <v>196</v>
      </c>
    </row>
    <row r="12" spans="1:25" x14ac:dyDescent="0.3">
      <c r="A12" s="8" t="s">
        <v>36</v>
      </c>
      <c r="B12" s="9">
        <v>207</v>
      </c>
      <c r="C12" s="10">
        <v>205</v>
      </c>
      <c r="D12" s="10">
        <v>210</v>
      </c>
      <c r="E12" s="10">
        <v>191</v>
      </c>
      <c r="F12" s="10">
        <v>211</v>
      </c>
      <c r="G12" s="10">
        <v>210</v>
      </c>
      <c r="H12" s="10">
        <v>211</v>
      </c>
      <c r="I12" s="10">
        <v>202</v>
      </c>
      <c r="J12" s="10">
        <v>194</v>
      </c>
      <c r="K12" s="10">
        <v>199</v>
      </c>
      <c r="L12" s="10">
        <v>193</v>
      </c>
      <c r="M12" s="10">
        <v>183</v>
      </c>
      <c r="N12" s="10">
        <v>201</v>
      </c>
      <c r="O12" s="10">
        <v>198</v>
      </c>
      <c r="P12" s="10">
        <v>180</v>
      </c>
      <c r="Q12" s="10">
        <v>176</v>
      </c>
      <c r="R12" s="10">
        <v>204</v>
      </c>
      <c r="S12" s="10">
        <v>207</v>
      </c>
      <c r="T12" s="10">
        <v>193</v>
      </c>
      <c r="U12" s="10">
        <v>191</v>
      </c>
      <c r="V12" s="10">
        <v>203</v>
      </c>
      <c r="W12" s="10">
        <v>200</v>
      </c>
      <c r="X12" s="10">
        <v>181</v>
      </c>
      <c r="Y12" s="11">
        <v>191</v>
      </c>
    </row>
    <row r="13" spans="1:25" x14ac:dyDescent="0.3">
      <c r="A13" s="8" t="s">
        <v>37</v>
      </c>
      <c r="B13" s="12"/>
      <c r="C13" s="13"/>
      <c r="D13" s="13"/>
      <c r="E13" s="13"/>
      <c r="F13" s="10">
        <v>206</v>
      </c>
      <c r="G13" s="10">
        <v>214</v>
      </c>
      <c r="H13" s="14">
        <v>212</v>
      </c>
      <c r="I13" s="10">
        <v>198</v>
      </c>
      <c r="J13" s="10">
        <v>200</v>
      </c>
      <c r="K13" s="14">
        <v>197</v>
      </c>
      <c r="L13" s="10">
        <v>190</v>
      </c>
      <c r="M13" s="10">
        <v>180</v>
      </c>
      <c r="N13" s="10">
        <v>203</v>
      </c>
      <c r="O13" s="10">
        <v>197</v>
      </c>
      <c r="P13" s="14">
        <v>181</v>
      </c>
      <c r="Q13" s="14">
        <v>175</v>
      </c>
      <c r="R13" s="10">
        <v>202</v>
      </c>
      <c r="S13" s="10">
        <v>209</v>
      </c>
      <c r="T13" s="10">
        <v>201</v>
      </c>
      <c r="U13" s="10">
        <v>193</v>
      </c>
      <c r="V13" s="14">
        <v>202</v>
      </c>
      <c r="W13" s="14">
        <v>203</v>
      </c>
      <c r="X13" s="14">
        <v>179</v>
      </c>
      <c r="Y13" s="15">
        <v>198</v>
      </c>
    </row>
    <row r="14" spans="1:25" x14ac:dyDescent="0.3">
      <c r="A14" s="8" t="s">
        <v>38</v>
      </c>
      <c r="B14" s="9">
        <v>207</v>
      </c>
      <c r="C14" s="10">
        <v>205</v>
      </c>
      <c r="D14" s="10">
        <v>210</v>
      </c>
      <c r="E14" s="10">
        <v>191</v>
      </c>
      <c r="F14" s="16">
        <v>207</v>
      </c>
      <c r="G14" s="16">
        <v>214</v>
      </c>
      <c r="H14" s="14">
        <v>212</v>
      </c>
      <c r="I14" s="16">
        <v>198</v>
      </c>
      <c r="J14" s="16">
        <v>200</v>
      </c>
      <c r="K14" s="14">
        <v>198</v>
      </c>
      <c r="L14" s="14">
        <v>203</v>
      </c>
      <c r="M14" s="14">
        <v>181</v>
      </c>
      <c r="N14" s="14">
        <v>198</v>
      </c>
      <c r="O14" s="14">
        <v>206</v>
      </c>
      <c r="P14" s="14">
        <v>180</v>
      </c>
      <c r="Q14" s="14">
        <v>175</v>
      </c>
      <c r="R14" s="14">
        <v>204</v>
      </c>
      <c r="S14" s="14">
        <v>206</v>
      </c>
      <c r="T14" s="14">
        <v>198</v>
      </c>
      <c r="U14" s="14">
        <v>190</v>
      </c>
      <c r="V14" s="14">
        <v>202</v>
      </c>
      <c r="W14" s="14">
        <v>199</v>
      </c>
      <c r="X14" s="14">
        <v>180</v>
      </c>
      <c r="Y14" s="15">
        <v>192</v>
      </c>
    </row>
    <row r="15" spans="1:25" ht="15" thickBot="1" x14ac:dyDescent="0.35">
      <c r="A15" s="17" t="s">
        <v>39</v>
      </c>
      <c r="B15" s="18"/>
      <c r="C15" s="19"/>
      <c r="D15" s="19"/>
      <c r="E15" s="19"/>
      <c r="F15" s="20">
        <v>212</v>
      </c>
      <c r="G15" s="20">
        <v>215</v>
      </c>
      <c r="H15" s="21">
        <v>216</v>
      </c>
      <c r="I15" s="20">
        <v>204</v>
      </c>
      <c r="J15" s="20">
        <v>196</v>
      </c>
      <c r="K15" s="21">
        <v>200</v>
      </c>
      <c r="L15" s="21">
        <v>198</v>
      </c>
      <c r="M15" s="21">
        <v>183</v>
      </c>
      <c r="N15" s="21">
        <v>205</v>
      </c>
      <c r="O15" s="21">
        <v>201</v>
      </c>
      <c r="P15" s="21">
        <v>181</v>
      </c>
      <c r="Q15" s="21">
        <v>176</v>
      </c>
      <c r="R15" s="21">
        <v>202</v>
      </c>
      <c r="S15" s="21">
        <v>207</v>
      </c>
      <c r="T15" s="21">
        <v>198</v>
      </c>
      <c r="U15" s="21">
        <v>190</v>
      </c>
      <c r="V15" s="21">
        <v>203</v>
      </c>
      <c r="W15" s="21">
        <v>202</v>
      </c>
      <c r="X15" s="21">
        <v>180</v>
      </c>
      <c r="Y15" s="22">
        <v>192</v>
      </c>
    </row>
    <row r="17" spans="1:12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8686-DCD8-4569-8EC2-09BB3BA35E9C}">
  <dimension ref="A1:Y17"/>
  <sheetViews>
    <sheetView workbookViewId="0">
      <selection activeCell="G23" sqref="G23"/>
    </sheetView>
  </sheetViews>
  <sheetFormatPr baseColWidth="10" defaultColWidth="11.44140625" defaultRowHeight="14.4" x14ac:dyDescent="0.3"/>
  <cols>
    <col min="1" max="1" width="15.77734375" customWidth="1"/>
  </cols>
  <sheetData>
    <row r="1" spans="1:25" ht="15" thickBot="1" x14ac:dyDescent="0.35">
      <c r="A1" s="1" t="s">
        <v>40</v>
      </c>
      <c r="B1" s="2" t="s">
        <v>2</v>
      </c>
      <c r="C1" s="3" t="s">
        <v>3</v>
      </c>
      <c r="D1" s="2" t="s">
        <v>4</v>
      </c>
      <c r="E1" s="3" t="s">
        <v>5</v>
      </c>
      <c r="F1" s="2" t="s">
        <v>6</v>
      </c>
      <c r="G1" s="3" t="s">
        <v>7</v>
      </c>
      <c r="H1" s="2" t="s">
        <v>8</v>
      </c>
      <c r="I1" s="3" t="s">
        <v>9</v>
      </c>
      <c r="J1" s="2" t="s">
        <v>10</v>
      </c>
      <c r="K1" s="3" t="s">
        <v>11</v>
      </c>
      <c r="L1" s="2" t="s">
        <v>12</v>
      </c>
      <c r="M1" s="3" t="s">
        <v>13</v>
      </c>
      <c r="N1" s="2" t="s">
        <v>14</v>
      </c>
      <c r="O1" s="3" t="s">
        <v>15</v>
      </c>
      <c r="P1" s="2" t="s">
        <v>16</v>
      </c>
      <c r="Q1" s="3" t="s">
        <v>17</v>
      </c>
      <c r="R1" s="2" t="s">
        <v>18</v>
      </c>
      <c r="S1" s="3" t="s">
        <v>19</v>
      </c>
      <c r="T1" s="2" t="s">
        <v>20</v>
      </c>
      <c r="U1" s="3" t="s">
        <v>21</v>
      </c>
      <c r="V1" s="2" t="s">
        <v>22</v>
      </c>
      <c r="W1" s="3" t="s">
        <v>23</v>
      </c>
      <c r="X1" s="2" t="s">
        <v>24</v>
      </c>
      <c r="Y1" s="3" t="s">
        <v>25</v>
      </c>
    </row>
    <row r="2" spans="1:25" x14ac:dyDescent="0.3">
      <c r="A2" s="4" t="s">
        <v>26</v>
      </c>
      <c r="B2" s="5">
        <f>'Hbt(g-L)'!B2/1000</f>
        <v>0.20499999999999999</v>
      </c>
      <c r="C2" s="6">
        <f>'Hbt(g-L)'!C2/1000</f>
        <v>0.20699999999999999</v>
      </c>
      <c r="D2" s="6">
        <f>'Hbt(g-L)'!D2/1000</f>
        <v>0.20699999999999999</v>
      </c>
      <c r="E2" s="6">
        <f>'Hbt(g-L)'!E2/1000</f>
        <v>0.19</v>
      </c>
      <c r="F2" s="6">
        <f>'Hbt(g-L)'!F2/1000</f>
        <v>0.20699999999999999</v>
      </c>
      <c r="G2" s="6">
        <f>'Hbt(g-L)'!G2/1000</f>
        <v>0.20799999999999999</v>
      </c>
      <c r="H2" s="6">
        <f>'Hbt(g-L)'!H2/1000</f>
        <v>0.20399999999999999</v>
      </c>
      <c r="I2" s="6">
        <f>'Hbt(g-L)'!I2/1000</f>
        <v>0.19400000000000001</v>
      </c>
      <c r="J2" s="6">
        <f>'Hbt(g-L)'!J2/1000</f>
        <v>0.191</v>
      </c>
      <c r="K2" s="6">
        <f>'Hbt(g-L)'!K2/1000</f>
        <v>0.19600000000000001</v>
      </c>
      <c r="L2" s="6">
        <f>'Hbt(g-L)'!L2/1000</f>
        <v>0.19400000000000001</v>
      </c>
      <c r="M2" s="6">
        <f>'Hbt(g-L)'!M2/1000</f>
        <v>0.185</v>
      </c>
      <c r="N2" s="6">
        <f>'Hbt(g-L)'!N2/1000</f>
        <v>0.20499999999999999</v>
      </c>
      <c r="O2" s="6">
        <f>'Hbt(g-L)'!O2/1000</f>
        <v>0.20599999999999999</v>
      </c>
      <c r="P2" s="6">
        <f>'Hbt(g-L)'!P2/1000</f>
        <v>0.185</v>
      </c>
      <c r="Q2" s="6">
        <f>'Hbt(g-L)'!Q2/1000</f>
        <v>0.16200000000000001</v>
      </c>
      <c r="R2" s="6">
        <f>'Hbt(g-L)'!R2/1000</f>
        <v>0.17899999999999999</v>
      </c>
      <c r="S2" s="6">
        <f>'Hbt(g-L)'!S2/1000</f>
        <v>0.20499999999999999</v>
      </c>
      <c r="T2" s="6">
        <f>'Hbt(g-L)'!T2/1000</f>
        <v>0.188</v>
      </c>
      <c r="U2" s="6">
        <f>'Hbt(g-L)'!U2/1000</f>
        <v>0.188</v>
      </c>
      <c r="V2" s="6">
        <f>'Hbt(g-L)'!V2/1000</f>
        <v>0.191</v>
      </c>
      <c r="W2" s="6">
        <f>'Hbt(g-L)'!W2/1000</f>
        <v>0.20200000000000001</v>
      </c>
      <c r="X2" s="6">
        <f>'Hbt(g-L)'!X2/1000</f>
        <v>0.17899999999999999</v>
      </c>
      <c r="Y2" s="7">
        <f>'Hbt(g-L)'!Y2/1000</f>
        <v>0.19</v>
      </c>
    </row>
    <row r="3" spans="1:25" x14ac:dyDescent="0.3">
      <c r="A3" s="8" t="s">
        <v>27</v>
      </c>
      <c r="B3" s="9">
        <f>'Hbt(g-L)'!B3/1000</f>
        <v>0.20599999999999999</v>
      </c>
      <c r="C3" s="10">
        <f>'Hbt(g-L)'!C3/1000</f>
        <v>0.20699999999999999</v>
      </c>
      <c r="D3" s="10">
        <f>'Hbt(g-L)'!D3/1000</f>
        <v>0.20899999999999999</v>
      </c>
      <c r="E3" s="10">
        <f>'Hbt(g-L)'!E3/1000</f>
        <v>0.193</v>
      </c>
      <c r="F3" s="10">
        <f>'Hbt(g-L)'!F3/1000</f>
        <v>0.216</v>
      </c>
      <c r="G3" s="10">
        <f>'Hbt(g-L)'!G3/1000</f>
        <v>0.20799999999999999</v>
      </c>
      <c r="H3" s="10">
        <f>'Hbt(g-L)'!H3/1000</f>
        <v>0.20599999999999999</v>
      </c>
      <c r="I3" s="10">
        <f>'Hbt(g-L)'!I3/1000</f>
        <v>0.19800000000000001</v>
      </c>
      <c r="J3" s="10">
        <f>'Hbt(g-L)'!J3/1000</f>
        <v>0.19400000000000001</v>
      </c>
      <c r="K3" s="10">
        <f>'Hbt(g-L)'!K3/1000</f>
        <v>0.19900000000000001</v>
      </c>
      <c r="L3" s="10">
        <f>'Hbt(g-L)'!L3/1000</f>
        <v>0.19500000000000001</v>
      </c>
      <c r="M3" s="10">
        <f>'Hbt(g-L)'!M3/1000</f>
        <v>0.2</v>
      </c>
      <c r="N3" s="10">
        <f>'Hbt(g-L)'!N3/1000</f>
        <v>0.216</v>
      </c>
      <c r="O3" s="10">
        <f>'Hbt(g-L)'!O3/1000</f>
        <v>0.21099999999999999</v>
      </c>
      <c r="P3" s="10">
        <f>'Hbt(g-L)'!P3/1000</f>
        <v>0.187</v>
      </c>
      <c r="Q3" s="10">
        <f>'Hbt(g-L)'!Q3/1000</f>
        <v>0.216</v>
      </c>
      <c r="R3" s="10">
        <f>'Hbt(g-L)'!R3/1000</f>
        <v>0.193</v>
      </c>
      <c r="S3" s="10">
        <f>'Hbt(g-L)'!S3/1000</f>
        <v>0.224</v>
      </c>
      <c r="T3" s="10">
        <f>'Hbt(g-L)'!T3/1000</f>
        <v>0.216</v>
      </c>
      <c r="U3" s="10">
        <f>'Hbt(g-L)'!U3/1000</f>
        <v>0.21099999999999999</v>
      </c>
      <c r="V3" s="10">
        <f>'Hbt(g-L)'!V3/1000</f>
        <v>0.20799999999999999</v>
      </c>
      <c r="W3" s="10">
        <f>'Hbt(g-L)'!W3/1000</f>
        <v>0.223</v>
      </c>
      <c r="X3" s="10">
        <f>'Hbt(g-L)'!X3/1000</f>
        <v>0.19400000000000001</v>
      </c>
      <c r="Y3" s="11">
        <f>'Hbt(g-L)'!Y3/1000</f>
        <v>0.17499999999999999</v>
      </c>
    </row>
    <row r="4" spans="1:25" x14ac:dyDescent="0.3">
      <c r="A4" s="8" t="s">
        <v>28</v>
      </c>
      <c r="B4" s="9">
        <f>'Hbt(g-L)'!B4/1000</f>
        <v>0.20499999999999999</v>
      </c>
      <c r="C4" s="10">
        <f>'Hbt(g-L)'!C4/1000</f>
        <v>0.20599999999999999</v>
      </c>
      <c r="D4" s="10">
        <f>'Hbt(g-L)'!D4/1000</f>
        <v>0.20899999999999999</v>
      </c>
      <c r="E4" s="10">
        <f>'Hbt(g-L)'!E4/1000</f>
        <v>0.19400000000000001</v>
      </c>
      <c r="F4" s="10">
        <f>'Hbt(g-L)'!F4/1000</f>
        <v>0.191</v>
      </c>
      <c r="G4" s="10">
        <f>'Hbt(g-L)'!G4/1000</f>
        <v>0.20899999999999999</v>
      </c>
      <c r="H4" s="10">
        <f>'Hbt(g-L)'!H4/1000</f>
        <v>0.20300000000000001</v>
      </c>
      <c r="I4" s="10">
        <f>'Hbt(g-L)'!I4/1000</f>
        <v>0.19800000000000001</v>
      </c>
      <c r="J4" s="10">
        <f>'Hbt(g-L)'!J4/1000</f>
        <v>0.193</v>
      </c>
      <c r="K4" s="10">
        <f>'Hbt(g-L)'!K4/1000</f>
        <v>0.2</v>
      </c>
      <c r="L4" s="10">
        <f>'Hbt(g-L)'!L4/1000</f>
        <v>0.218</v>
      </c>
      <c r="M4" s="10">
        <f>'Hbt(g-L)'!M4/1000</f>
        <v>0.20100000000000001</v>
      </c>
      <c r="N4" s="10">
        <f>'Hbt(g-L)'!N4/1000</f>
        <v>0.20100000000000001</v>
      </c>
      <c r="O4" s="10">
        <f>'Hbt(g-L)'!O4/1000</f>
        <v>0.20399999999999999</v>
      </c>
      <c r="P4" s="10">
        <f>'Hbt(g-L)'!P4/1000</f>
        <v>0.18099999999999999</v>
      </c>
      <c r="Q4" s="10">
        <f>'Hbt(g-L)'!Q4/1000</f>
        <v>0.18</v>
      </c>
      <c r="R4" s="10">
        <f>'Hbt(g-L)'!R4/1000</f>
        <v>0.21199999999999999</v>
      </c>
      <c r="S4" s="10">
        <f>'Hbt(g-L)'!S4/1000</f>
        <v>0.20399999999999999</v>
      </c>
      <c r="T4" s="10">
        <f>'Hbt(g-L)'!T4/1000</f>
        <v>0.19700000000000001</v>
      </c>
      <c r="U4" s="10">
        <f>'Hbt(g-L)'!U4/1000</f>
        <v>0.192</v>
      </c>
      <c r="V4" s="10">
        <f>'Hbt(g-L)'!V4/1000</f>
        <v>0.17899999999999999</v>
      </c>
      <c r="W4" s="10">
        <f>'Hbt(g-L)'!W4/1000</f>
        <v>0.19800000000000001</v>
      </c>
      <c r="X4" s="10">
        <f>'Hbt(g-L)'!X4/1000</f>
        <v>0.16700000000000001</v>
      </c>
      <c r="Y4" s="11">
        <f>'Hbt(g-L)'!Y4/1000</f>
        <v>0.20499999999999999</v>
      </c>
    </row>
    <row r="5" spans="1:25" x14ac:dyDescent="0.3">
      <c r="A5" s="8" t="s">
        <v>29</v>
      </c>
      <c r="B5" s="9">
        <f>'Hbt(g-L)'!B5/1000</f>
        <v>0.20200000000000001</v>
      </c>
      <c r="C5" s="10">
        <f>'Hbt(g-L)'!C5/1000</f>
        <v>0.20399999999999999</v>
      </c>
      <c r="D5" s="10">
        <f>'Hbt(g-L)'!D5/1000</f>
        <v>0.20899999999999999</v>
      </c>
      <c r="E5" s="10">
        <f>'Hbt(g-L)'!E5/1000</f>
        <v>0.19400000000000001</v>
      </c>
      <c r="F5" s="10">
        <f>'Hbt(g-L)'!F5/1000</f>
        <v>0.20200000000000001</v>
      </c>
      <c r="G5" s="10">
        <f>'Hbt(g-L)'!G5/1000</f>
        <v>0.21099999999999999</v>
      </c>
      <c r="H5" s="10">
        <f>'Hbt(g-L)'!H5/1000</f>
        <v>0.20799999999999999</v>
      </c>
      <c r="I5" s="10">
        <f>'Hbt(g-L)'!I5/1000</f>
        <v>0.19800000000000001</v>
      </c>
      <c r="J5" s="10">
        <f>'Hbt(g-L)'!J5/1000</f>
        <v>0.193</v>
      </c>
      <c r="K5" s="10">
        <f>'Hbt(g-L)'!K5/1000</f>
        <v>0.19900000000000001</v>
      </c>
      <c r="L5" s="10">
        <f>'Hbt(g-L)'!L5/1000</f>
        <v>0.189</v>
      </c>
      <c r="M5" s="10">
        <f>'Hbt(g-L)'!M5/1000</f>
        <v>0.17799999999999999</v>
      </c>
      <c r="N5" s="10">
        <f>'Hbt(g-L)'!N5/1000</f>
        <v>0.2</v>
      </c>
      <c r="O5" s="10">
        <f>'Hbt(g-L)'!O5/1000</f>
        <v>0.2</v>
      </c>
      <c r="P5" s="10">
        <f>'Hbt(g-L)'!P5/1000</f>
        <v>0.18</v>
      </c>
      <c r="Q5" s="10">
        <f>'Hbt(g-L)'!Q5/1000</f>
        <v>0.158</v>
      </c>
      <c r="R5" s="10">
        <f>'Hbt(g-L)'!R5/1000</f>
        <v>0.19800000000000001</v>
      </c>
      <c r="S5" s="10">
        <f>'Hbt(g-L)'!S5/1000</f>
        <v>0.19900000000000001</v>
      </c>
      <c r="T5" s="10">
        <f>'Hbt(g-L)'!T5/1000</f>
        <v>0.188</v>
      </c>
      <c r="U5" s="10">
        <f>'Hbt(g-L)'!U5/1000</f>
        <v>0.183</v>
      </c>
      <c r="V5" s="10">
        <f>'Hbt(g-L)'!V5/1000</f>
        <v>0.186</v>
      </c>
      <c r="W5" s="10">
        <f>'Hbt(g-L)'!W5/1000</f>
        <v>0.21099999999999999</v>
      </c>
      <c r="X5" s="10">
        <f>'Hbt(g-L)'!X5/1000</f>
        <v>0.17899999999999999</v>
      </c>
      <c r="Y5" s="11">
        <f>'Hbt(g-L)'!Y5/1000</f>
        <v>0.184</v>
      </c>
    </row>
    <row r="6" spans="1:25" x14ac:dyDescent="0.3">
      <c r="A6" s="8" t="s">
        <v>30</v>
      </c>
      <c r="B6" s="9">
        <f>'Hbt(g-L)'!B6/1000</f>
        <v>0.20699999999999999</v>
      </c>
      <c r="C6" s="10">
        <f>'Hbt(g-L)'!C6/1000</f>
        <v>0.20699999999999999</v>
      </c>
      <c r="D6" s="10">
        <f>'Hbt(g-L)'!D6/1000</f>
        <v>0.21</v>
      </c>
      <c r="E6" s="10">
        <f>'Hbt(g-L)'!E6/1000</f>
        <v>0.19400000000000001</v>
      </c>
      <c r="F6" s="10">
        <f>'Hbt(g-L)'!F6/1000</f>
        <v>0.20799999999999999</v>
      </c>
      <c r="G6" s="10">
        <f>'Hbt(g-L)'!G6/1000</f>
        <v>0.20899999999999999</v>
      </c>
      <c r="H6" s="10">
        <f>'Hbt(g-L)'!H6/1000</f>
        <v>0.20799999999999999</v>
      </c>
      <c r="I6" s="10">
        <f>'Hbt(g-L)'!I6/1000</f>
        <v>0.19800000000000001</v>
      </c>
      <c r="J6" s="10">
        <f>'Hbt(g-L)'!J6/1000</f>
        <v>0.193</v>
      </c>
      <c r="K6" s="10">
        <f>'Hbt(g-L)'!K6/1000</f>
        <v>0.19800000000000001</v>
      </c>
      <c r="L6" s="10">
        <f>'Hbt(g-L)'!L6/1000</f>
        <v>0.19600000000000001</v>
      </c>
      <c r="M6" s="10">
        <f>'Hbt(g-L)'!M6/1000</f>
        <v>0.184</v>
      </c>
      <c r="N6" s="10">
        <f>'Hbt(g-L)'!N6/1000</f>
        <v>0.20499999999999999</v>
      </c>
      <c r="O6" s="10">
        <f>'Hbt(g-L)'!O6/1000</f>
        <v>0.21099999999999999</v>
      </c>
      <c r="P6" s="10">
        <f>'Hbt(g-L)'!P6/1000</f>
        <v>0.186</v>
      </c>
      <c r="Q6" s="10">
        <f>'Hbt(g-L)'!Q6/1000</f>
        <v>0.182</v>
      </c>
      <c r="R6" s="10">
        <f>'Hbt(g-L)'!R6/1000</f>
        <v>0.19900000000000001</v>
      </c>
      <c r="S6" s="10">
        <f>'Hbt(g-L)'!S6/1000</f>
        <v>0.20499999999999999</v>
      </c>
      <c r="T6" s="10">
        <f>'Hbt(g-L)'!T6/1000</f>
        <v>0.189</v>
      </c>
      <c r="U6" s="10">
        <f>'Hbt(g-L)'!U6/1000</f>
        <v>0.183</v>
      </c>
      <c r="V6" s="10">
        <f>'Hbt(g-L)'!V6/1000</f>
        <v>0.18099999999999999</v>
      </c>
      <c r="W6" s="10">
        <f>'Hbt(g-L)'!W6/1000</f>
        <v>0.21099999999999999</v>
      </c>
      <c r="X6" s="10">
        <f>'Hbt(g-L)'!X6/1000</f>
        <v>0.17100000000000001</v>
      </c>
      <c r="Y6" s="11">
        <f>'Hbt(g-L)'!Y6/1000</f>
        <v>0.159</v>
      </c>
    </row>
    <row r="7" spans="1:25" x14ac:dyDescent="0.3">
      <c r="A7" s="8" t="s">
        <v>31</v>
      </c>
      <c r="B7" s="9">
        <f>'Hbt(g-L)'!B7/1000</f>
        <v>0.21099999999999999</v>
      </c>
      <c r="C7" s="10">
        <f>'Hbt(g-L)'!C7/1000</f>
        <v>0.20899999999999999</v>
      </c>
      <c r="D7" s="10">
        <f>'Hbt(g-L)'!D7/1000</f>
        <v>0.21199999999999999</v>
      </c>
      <c r="E7" s="10">
        <f>'Hbt(g-L)'!E7/1000</f>
        <v>0.19500000000000001</v>
      </c>
      <c r="F7" s="10">
        <f>'Hbt(g-L)'!F7/1000</f>
        <v>0.20899999999999999</v>
      </c>
      <c r="G7" s="10">
        <f>'Hbt(g-L)'!G7/1000</f>
        <v>0.20899999999999999</v>
      </c>
      <c r="H7" s="10">
        <f>'Hbt(g-L)'!H7/1000</f>
        <v>0.20599999999999999</v>
      </c>
      <c r="I7" s="10">
        <f>'Hbt(g-L)'!I7/1000</f>
        <v>0.19500000000000001</v>
      </c>
      <c r="J7" s="10">
        <f>'Hbt(g-L)'!J7/1000</f>
        <v>0.192</v>
      </c>
      <c r="K7" s="10">
        <f>'Hbt(g-L)'!K7/1000</f>
        <v>0.19600000000000001</v>
      </c>
      <c r="L7" s="10">
        <f>'Hbt(g-L)'!L7/1000</f>
        <v>0.191</v>
      </c>
      <c r="M7" s="10">
        <f>'Hbt(g-L)'!M7/1000</f>
        <v>0.18099999999999999</v>
      </c>
      <c r="N7" s="10">
        <f>'Hbt(g-L)'!N7/1000</f>
        <v>0.20499999999999999</v>
      </c>
      <c r="O7" s="10">
        <f>'Hbt(g-L)'!O7/1000</f>
        <v>0.20200000000000001</v>
      </c>
      <c r="P7" s="10">
        <f>'Hbt(g-L)'!P7/1000</f>
        <v>0.182</v>
      </c>
      <c r="Q7" s="10">
        <f>'Hbt(g-L)'!Q7/1000</f>
        <v>0.17499999999999999</v>
      </c>
      <c r="R7" s="10">
        <f>'Hbt(g-L)'!R7/1000</f>
        <v>0.2</v>
      </c>
      <c r="S7" s="10">
        <f>'Hbt(g-L)'!S7/1000</f>
        <v>0.20499999999999999</v>
      </c>
      <c r="T7" s="10">
        <f>'Hbt(g-L)'!T7/1000</f>
        <v>0.154</v>
      </c>
      <c r="U7" s="10">
        <f>'Hbt(g-L)'!U7/1000</f>
        <v>0.185</v>
      </c>
      <c r="V7" s="10">
        <f>'Hbt(g-L)'!V7/1000</f>
        <v>0.19500000000000001</v>
      </c>
      <c r="W7" s="10">
        <f>'Hbt(g-L)'!W7/1000</f>
        <v>0.182</v>
      </c>
      <c r="X7" s="10">
        <f>'Hbt(g-L)'!X7/1000</f>
        <v>0.159</v>
      </c>
      <c r="Y7" s="11">
        <f>'Hbt(g-L)'!Y7/1000</f>
        <v>0.188</v>
      </c>
    </row>
    <row r="8" spans="1:25" x14ac:dyDescent="0.3">
      <c r="A8" s="8" t="s">
        <v>32</v>
      </c>
      <c r="B8" s="12"/>
      <c r="C8" s="13"/>
      <c r="D8" s="13"/>
      <c r="E8" s="13"/>
      <c r="F8" s="10">
        <f>'Hbt(g-L)'!F8/1000</f>
        <v>0.20899999999999999</v>
      </c>
      <c r="G8" s="10">
        <f>'Hbt(g-L)'!G8/1000</f>
        <v>0.21099999999999999</v>
      </c>
      <c r="H8" s="10">
        <f>'Hbt(g-L)'!H8/1000</f>
        <v>0.20799999999999999</v>
      </c>
      <c r="I8" s="10">
        <f>'Hbt(g-L)'!I8/1000</f>
        <v>0.19800000000000001</v>
      </c>
      <c r="J8" s="10">
        <f>'Hbt(g-L)'!J8/1000</f>
        <v>0.19400000000000001</v>
      </c>
      <c r="K8" s="10">
        <f>'Hbt(g-L)'!K8/1000</f>
        <v>0.19900000000000001</v>
      </c>
      <c r="L8" s="10">
        <f>'Hbt(g-L)'!L8/1000</f>
        <v>0.191</v>
      </c>
      <c r="M8" s="10">
        <f>'Hbt(g-L)'!M8/1000</f>
        <v>0.17899999999999999</v>
      </c>
      <c r="N8" s="10">
        <f>'Hbt(g-L)'!N8/1000</f>
        <v>0.20200000000000001</v>
      </c>
      <c r="O8" s="10">
        <f>'Hbt(g-L)'!O8/1000</f>
        <v>0.20300000000000001</v>
      </c>
      <c r="P8" s="10">
        <f>'Hbt(g-L)'!P8/1000</f>
        <v>0.184</v>
      </c>
      <c r="Q8" s="10">
        <f>'Hbt(g-L)'!Q8/1000</f>
        <v>0.18099999999999999</v>
      </c>
      <c r="R8" s="10">
        <f>'Hbt(g-L)'!R8/1000</f>
        <v>0.19900000000000001</v>
      </c>
      <c r="S8" s="10">
        <f>'Hbt(g-L)'!S8/1000</f>
        <v>0.20499999999999999</v>
      </c>
      <c r="T8" s="10">
        <f>'Hbt(g-L)'!T8/1000</f>
        <v>0.17899999999999999</v>
      </c>
      <c r="U8" s="10">
        <f>'Hbt(g-L)'!U8/1000</f>
        <v>0.188</v>
      </c>
      <c r="V8" s="10">
        <f>'Hbt(g-L)'!V8/1000</f>
        <v>0.19900000000000001</v>
      </c>
      <c r="W8" s="10">
        <f>'Hbt(g-L)'!W8/1000</f>
        <v>0.19600000000000001</v>
      </c>
      <c r="X8" s="10">
        <f>'Hbt(g-L)'!X8/1000</f>
        <v>0.17</v>
      </c>
      <c r="Y8" s="11">
        <f>'Hbt(g-L)'!Y8/1000</f>
        <v>0.191</v>
      </c>
    </row>
    <row r="9" spans="1:25" x14ac:dyDescent="0.3">
      <c r="A9" s="8" t="s">
        <v>33</v>
      </c>
      <c r="B9" s="9">
        <f>'Hbt(g-L)'!B9/1000</f>
        <v>0.20599999999999999</v>
      </c>
      <c r="C9" s="10">
        <f>'Hbt(g-L)'!C9/1000</f>
        <v>0.20599999999999999</v>
      </c>
      <c r="D9" s="10">
        <f>'Hbt(g-L)'!D9/1000</f>
        <v>0.20799999999999999</v>
      </c>
      <c r="E9" s="10">
        <f>'Hbt(g-L)'!E9/1000</f>
        <v>0.192</v>
      </c>
      <c r="F9" s="10">
        <f>'Hbt(g-L)'!F9/1000</f>
        <v>0.21099999999999999</v>
      </c>
      <c r="G9" s="10">
        <f>'Hbt(g-L)'!G9/1000</f>
        <v>0.21</v>
      </c>
      <c r="H9" s="10">
        <f>'Hbt(g-L)'!H9/1000</f>
        <v>0.20699999999999999</v>
      </c>
      <c r="I9" s="10">
        <f>'Hbt(g-L)'!I9/1000</f>
        <v>0.19600000000000001</v>
      </c>
      <c r="J9" s="10">
        <f>'Hbt(g-L)'!J9/1000</f>
        <v>0.19400000000000001</v>
      </c>
      <c r="K9" s="10">
        <f>'Hbt(g-L)'!K9/1000</f>
        <v>0.2</v>
      </c>
      <c r="L9" s="10">
        <f>'Hbt(g-L)'!L9/1000</f>
        <v>0.19</v>
      </c>
      <c r="M9" s="10">
        <f>'Hbt(g-L)'!M9/1000</f>
        <v>0.184</v>
      </c>
      <c r="N9" s="10">
        <f>'Hbt(g-L)'!N9/1000</f>
        <v>0.20399999999999999</v>
      </c>
      <c r="O9" s="10">
        <f>'Hbt(g-L)'!O9/1000</f>
        <v>0.19700000000000001</v>
      </c>
      <c r="P9" s="10">
        <f>'Hbt(g-L)'!P9/1000</f>
        <v>0.18</v>
      </c>
      <c r="Q9" s="10">
        <f>'Hbt(g-L)'!Q9/1000</f>
        <v>0.17899999999999999</v>
      </c>
      <c r="R9" s="10">
        <f>'Hbt(g-L)'!R9/1000</f>
        <v>0.19500000000000001</v>
      </c>
      <c r="S9" s="10">
        <f>'Hbt(g-L)'!S9/1000</f>
        <v>0.20399999999999999</v>
      </c>
      <c r="T9" s="10">
        <f>'Hbt(g-L)'!T9/1000</f>
        <v>0.20599999999999999</v>
      </c>
      <c r="U9" s="10">
        <f>'Hbt(g-L)'!U9/1000</f>
        <v>0.188</v>
      </c>
      <c r="V9" s="10">
        <f>'Hbt(g-L)'!V9/1000</f>
        <v>0.19800000000000001</v>
      </c>
      <c r="W9" s="10">
        <f>'Hbt(g-L)'!W9/1000</f>
        <v>0.19700000000000001</v>
      </c>
      <c r="X9" s="10">
        <f>'Hbt(g-L)'!X9/1000</f>
        <v>0.16700000000000001</v>
      </c>
      <c r="Y9" s="11">
        <f>'Hbt(g-L)'!Y9/1000</f>
        <v>0.187</v>
      </c>
    </row>
    <row r="10" spans="1:25" x14ac:dyDescent="0.3">
      <c r="A10" s="8" t="s">
        <v>34</v>
      </c>
      <c r="B10" s="9">
        <f>'Hbt(g-L)'!B10/1000</f>
        <v>0.20499999999999999</v>
      </c>
      <c r="C10" s="10">
        <f>'Hbt(g-L)'!C10/1000</f>
        <v>0.20599999999999999</v>
      </c>
      <c r="D10" s="10">
        <f>'Hbt(g-L)'!D10/1000</f>
        <v>0.20799999999999999</v>
      </c>
      <c r="E10" s="10">
        <f>'Hbt(g-L)'!E10/1000</f>
        <v>0.192</v>
      </c>
      <c r="F10" s="10">
        <f>'Hbt(g-L)'!F10/1000</f>
        <v>0.21</v>
      </c>
      <c r="G10" s="10">
        <f>'Hbt(g-L)'!G10/1000</f>
        <v>0.20499999999999999</v>
      </c>
      <c r="H10" s="10">
        <f>'Hbt(g-L)'!H10/1000</f>
        <v>0.20799999999999999</v>
      </c>
      <c r="I10" s="10">
        <f>'Hbt(g-L)'!I10/1000</f>
        <v>0.2</v>
      </c>
      <c r="J10" s="10">
        <f>'Hbt(g-L)'!J10/1000</f>
        <v>0.19400000000000001</v>
      </c>
      <c r="K10" s="10">
        <f>'Hbt(g-L)'!K10/1000</f>
        <v>0.19800000000000001</v>
      </c>
      <c r="L10" s="10">
        <f>'Hbt(g-L)'!L10/1000</f>
        <v>0.19</v>
      </c>
      <c r="M10" s="10">
        <f>'Hbt(g-L)'!M10/1000</f>
        <v>0.183</v>
      </c>
      <c r="N10" s="10">
        <f>'Hbt(g-L)'!N10/1000</f>
        <v>0.20300000000000001</v>
      </c>
      <c r="O10" s="10">
        <f>'Hbt(g-L)'!O10/1000</f>
        <v>0.19900000000000001</v>
      </c>
      <c r="P10" s="10">
        <f>'Hbt(g-L)'!P10/1000</f>
        <v>0.185</v>
      </c>
      <c r="Q10" s="10">
        <f>'Hbt(g-L)'!Q10/1000</f>
        <v>0.17699999999999999</v>
      </c>
      <c r="R10" s="10">
        <f>'Hbt(g-L)'!R10/1000</f>
        <v>0.20300000000000001</v>
      </c>
      <c r="S10" s="10">
        <f>'Hbt(g-L)'!S10/1000</f>
        <v>0.20599999999999999</v>
      </c>
      <c r="T10" s="10">
        <f>'Hbt(g-L)'!T10/1000</f>
        <v>0.17599999999999999</v>
      </c>
      <c r="U10" s="10">
        <f>'Hbt(g-L)'!U10/1000</f>
        <v>0.189</v>
      </c>
      <c r="V10" s="10">
        <f>'Hbt(g-L)'!V10/1000</f>
        <v>0.19800000000000001</v>
      </c>
      <c r="W10" s="10">
        <f>'Hbt(g-L)'!W10/1000</f>
        <v>0.19600000000000001</v>
      </c>
      <c r="X10" s="10">
        <f>'Hbt(g-L)'!X10/1000</f>
        <v>0.17599999999999999</v>
      </c>
      <c r="Y10" s="11">
        <f>'Hbt(g-L)'!Y10/1000</f>
        <v>0.19400000000000001</v>
      </c>
    </row>
    <row r="11" spans="1:25" x14ac:dyDescent="0.3">
      <c r="A11" s="8" t="s">
        <v>35</v>
      </c>
      <c r="B11" s="9">
        <f>'Hbt(g-L)'!B11/1000</f>
        <v>0.20499999999999999</v>
      </c>
      <c r="C11" s="10">
        <f>'Hbt(g-L)'!C11/1000</f>
        <v>0.20599999999999999</v>
      </c>
      <c r="D11" s="10">
        <f>'Hbt(g-L)'!D11/1000</f>
        <v>0.20799999999999999</v>
      </c>
      <c r="E11" s="10">
        <f>'Hbt(g-L)'!E11/1000</f>
        <v>0.192</v>
      </c>
      <c r="F11" s="10">
        <f>'Hbt(g-L)'!F11/1000</f>
        <v>0.21</v>
      </c>
      <c r="G11" s="10">
        <f>'Hbt(g-L)'!G11/1000</f>
        <v>0.20799999999999999</v>
      </c>
      <c r="H11" s="10">
        <f>'Hbt(g-L)'!H11/1000</f>
        <v>0.20499999999999999</v>
      </c>
      <c r="I11" s="10">
        <f>'Hbt(g-L)'!I11/1000</f>
        <v>0.19500000000000001</v>
      </c>
      <c r="J11" s="10">
        <f>'Hbt(g-L)'!J11/1000</f>
        <v>0.19400000000000001</v>
      </c>
      <c r="K11" s="10">
        <f>'Hbt(g-L)'!K11/1000</f>
        <v>0.19800000000000001</v>
      </c>
      <c r="L11" s="10">
        <f>'Hbt(g-L)'!L11/1000</f>
        <v>0.19</v>
      </c>
      <c r="M11" s="10">
        <f>'Hbt(g-L)'!M11/1000</f>
        <v>0.182</v>
      </c>
      <c r="N11" s="10">
        <f>'Hbt(g-L)'!N11/1000</f>
        <v>0.20399999999999999</v>
      </c>
      <c r="O11" s="10">
        <f>'Hbt(g-L)'!O11/1000</f>
        <v>0.20399999999999999</v>
      </c>
      <c r="P11" s="10">
        <f>'Hbt(g-L)'!P11/1000</f>
        <v>0.182</v>
      </c>
      <c r="Q11" s="10">
        <f>'Hbt(g-L)'!Q11/1000</f>
        <v>0.17799999999999999</v>
      </c>
      <c r="R11" s="10">
        <f>'Hbt(g-L)'!R11/1000</f>
        <v>0.20599999999999999</v>
      </c>
      <c r="S11" s="10">
        <f>'Hbt(g-L)'!S11/1000</f>
        <v>0.21</v>
      </c>
      <c r="T11" s="10">
        <f>'Hbt(g-L)'!T11/1000</f>
        <v>0.187</v>
      </c>
      <c r="U11" s="10">
        <f>'Hbt(g-L)'!U11/1000</f>
        <v>0.193</v>
      </c>
      <c r="V11" s="10">
        <f>'Hbt(g-L)'!V11/1000</f>
        <v>0.20300000000000001</v>
      </c>
      <c r="W11" s="10">
        <f>'Hbt(g-L)'!W11/1000</f>
        <v>0.20200000000000001</v>
      </c>
      <c r="X11" s="10">
        <f>'Hbt(g-L)'!X11/1000</f>
        <v>0.18</v>
      </c>
      <c r="Y11" s="11">
        <f>'Hbt(g-L)'!Y11/1000</f>
        <v>0.19600000000000001</v>
      </c>
    </row>
    <row r="12" spans="1:25" x14ac:dyDescent="0.3">
      <c r="A12" s="8" t="s">
        <v>36</v>
      </c>
      <c r="B12" s="9">
        <f>'Hbt(g-L)'!B12/1000</f>
        <v>0.20699999999999999</v>
      </c>
      <c r="C12" s="10">
        <f>'Hbt(g-L)'!C12/1000</f>
        <v>0.20499999999999999</v>
      </c>
      <c r="D12" s="10">
        <f>'Hbt(g-L)'!D12/1000</f>
        <v>0.21</v>
      </c>
      <c r="E12" s="10">
        <f>'Hbt(g-L)'!E12/1000</f>
        <v>0.191</v>
      </c>
      <c r="F12" s="10">
        <f>'Hbt(g-L)'!F12/1000</f>
        <v>0.21099999999999999</v>
      </c>
      <c r="G12" s="10">
        <f>'Hbt(g-L)'!G12/1000</f>
        <v>0.21</v>
      </c>
      <c r="H12" s="10">
        <f>'Hbt(g-L)'!H12/1000</f>
        <v>0.21099999999999999</v>
      </c>
      <c r="I12" s="10">
        <f>'Hbt(g-L)'!I12/1000</f>
        <v>0.20200000000000001</v>
      </c>
      <c r="J12" s="10">
        <f>'Hbt(g-L)'!J12/1000</f>
        <v>0.19400000000000001</v>
      </c>
      <c r="K12" s="10">
        <f>'Hbt(g-L)'!K12/1000</f>
        <v>0.19900000000000001</v>
      </c>
      <c r="L12" s="10">
        <f>'Hbt(g-L)'!L12/1000</f>
        <v>0.193</v>
      </c>
      <c r="M12" s="10">
        <f>'Hbt(g-L)'!M12/1000</f>
        <v>0.183</v>
      </c>
      <c r="N12" s="10">
        <f>'Hbt(g-L)'!N12/1000</f>
        <v>0.20100000000000001</v>
      </c>
      <c r="O12" s="10">
        <f>'Hbt(g-L)'!O12/1000</f>
        <v>0.19800000000000001</v>
      </c>
      <c r="P12" s="10">
        <f>'Hbt(g-L)'!P12/1000</f>
        <v>0.18</v>
      </c>
      <c r="Q12" s="10">
        <f>'Hbt(g-L)'!Q12/1000</f>
        <v>0.17599999999999999</v>
      </c>
      <c r="R12" s="10">
        <f>'Hbt(g-L)'!R12/1000</f>
        <v>0.20399999999999999</v>
      </c>
      <c r="S12" s="10">
        <f>'Hbt(g-L)'!S12/1000</f>
        <v>0.20699999999999999</v>
      </c>
      <c r="T12" s="10">
        <f>'Hbt(g-L)'!T12/1000</f>
        <v>0.193</v>
      </c>
      <c r="U12" s="10">
        <f>'Hbt(g-L)'!U12/1000</f>
        <v>0.191</v>
      </c>
      <c r="V12" s="10">
        <f>'Hbt(g-L)'!V12/1000</f>
        <v>0.20300000000000001</v>
      </c>
      <c r="W12" s="10">
        <f>'Hbt(g-L)'!W12/1000</f>
        <v>0.2</v>
      </c>
      <c r="X12" s="10">
        <f>'Hbt(g-L)'!X12/1000</f>
        <v>0.18099999999999999</v>
      </c>
      <c r="Y12" s="11">
        <f>'Hbt(g-L)'!Y12/1000</f>
        <v>0.191</v>
      </c>
    </row>
    <row r="13" spans="1:25" x14ac:dyDescent="0.3">
      <c r="A13" s="8" t="s">
        <v>37</v>
      </c>
      <c r="B13" s="12"/>
      <c r="C13" s="13"/>
      <c r="D13" s="13"/>
      <c r="E13" s="13"/>
      <c r="F13" s="10">
        <f>'Hbt(g-L)'!F13/1000</f>
        <v>0.20599999999999999</v>
      </c>
      <c r="G13" s="10">
        <f>'Hbt(g-L)'!G13/1000</f>
        <v>0.214</v>
      </c>
      <c r="H13" s="10">
        <f>'Hbt(g-L)'!H13/1000</f>
        <v>0.21199999999999999</v>
      </c>
      <c r="I13" s="10">
        <f>'Hbt(g-L)'!I13/1000</f>
        <v>0.19800000000000001</v>
      </c>
      <c r="J13" s="10">
        <f>'Hbt(g-L)'!J13/1000</f>
        <v>0.2</v>
      </c>
      <c r="K13" s="10">
        <f>'Hbt(g-L)'!K13/1000</f>
        <v>0.19700000000000001</v>
      </c>
      <c r="L13" s="10">
        <f>'Hbt(g-L)'!L13/1000</f>
        <v>0.19</v>
      </c>
      <c r="M13" s="10">
        <f>'Hbt(g-L)'!M13/1000</f>
        <v>0.18</v>
      </c>
      <c r="N13" s="10">
        <f>'Hbt(g-L)'!N13/1000</f>
        <v>0.20300000000000001</v>
      </c>
      <c r="O13" s="10">
        <f>'Hbt(g-L)'!O13/1000</f>
        <v>0.19700000000000001</v>
      </c>
      <c r="P13" s="10">
        <f>'Hbt(g-L)'!P13/1000</f>
        <v>0.18099999999999999</v>
      </c>
      <c r="Q13" s="10">
        <f>'Hbt(g-L)'!Q13/1000</f>
        <v>0.17499999999999999</v>
      </c>
      <c r="R13" s="10">
        <f>'Hbt(g-L)'!R13/1000</f>
        <v>0.20200000000000001</v>
      </c>
      <c r="S13" s="10">
        <f>'Hbt(g-L)'!S13/1000</f>
        <v>0.20899999999999999</v>
      </c>
      <c r="T13" s="10">
        <f>'Hbt(g-L)'!T13/1000</f>
        <v>0.20100000000000001</v>
      </c>
      <c r="U13" s="10">
        <f>'Hbt(g-L)'!U13/1000</f>
        <v>0.193</v>
      </c>
      <c r="V13" s="10">
        <f>'Hbt(g-L)'!V13/1000</f>
        <v>0.20200000000000001</v>
      </c>
      <c r="W13" s="10">
        <f>'Hbt(g-L)'!W13/1000</f>
        <v>0.20300000000000001</v>
      </c>
      <c r="X13" s="10">
        <f>'Hbt(g-L)'!X13/1000</f>
        <v>0.17899999999999999</v>
      </c>
      <c r="Y13" s="11">
        <f>'Hbt(g-L)'!Y13/1000</f>
        <v>0.19800000000000001</v>
      </c>
    </row>
    <row r="14" spans="1:25" x14ac:dyDescent="0.3">
      <c r="A14" s="8" t="s">
        <v>38</v>
      </c>
      <c r="B14" s="9">
        <f>'Hbt(g-L)'!B14/1000</f>
        <v>0.20699999999999999</v>
      </c>
      <c r="C14" s="10">
        <f>'Hbt(g-L)'!C14/1000</f>
        <v>0.20499999999999999</v>
      </c>
      <c r="D14" s="10">
        <f>'Hbt(g-L)'!D14/1000</f>
        <v>0.21</v>
      </c>
      <c r="E14" s="10">
        <f>'Hbt(g-L)'!E14/1000</f>
        <v>0.191</v>
      </c>
      <c r="F14" s="10">
        <f>'Hbt(g-L)'!F14/1000</f>
        <v>0.20699999999999999</v>
      </c>
      <c r="G14" s="10">
        <f>'Hbt(g-L)'!G14/1000</f>
        <v>0.214</v>
      </c>
      <c r="H14" s="10">
        <f>'Hbt(g-L)'!H14/1000</f>
        <v>0.21199999999999999</v>
      </c>
      <c r="I14" s="10">
        <f>'Hbt(g-L)'!I14/1000</f>
        <v>0.19800000000000001</v>
      </c>
      <c r="J14" s="10">
        <f>'Hbt(g-L)'!J14/1000</f>
        <v>0.2</v>
      </c>
      <c r="K14" s="10">
        <f>'Hbt(g-L)'!K14/1000</f>
        <v>0.19800000000000001</v>
      </c>
      <c r="L14" s="10">
        <f>'Hbt(g-L)'!L14/1000</f>
        <v>0.20300000000000001</v>
      </c>
      <c r="M14" s="10">
        <f>'Hbt(g-L)'!M14/1000</f>
        <v>0.18099999999999999</v>
      </c>
      <c r="N14" s="10">
        <f>'Hbt(g-L)'!N14/1000</f>
        <v>0.19800000000000001</v>
      </c>
      <c r="O14" s="10">
        <f>'Hbt(g-L)'!O14/1000</f>
        <v>0.20599999999999999</v>
      </c>
      <c r="P14" s="10">
        <f>'Hbt(g-L)'!P14/1000</f>
        <v>0.18</v>
      </c>
      <c r="Q14" s="10">
        <f>'Hbt(g-L)'!Q14/1000</f>
        <v>0.17499999999999999</v>
      </c>
      <c r="R14" s="10">
        <f>'Hbt(g-L)'!R14/1000</f>
        <v>0.20399999999999999</v>
      </c>
      <c r="S14" s="10">
        <f>'Hbt(g-L)'!S14/1000</f>
        <v>0.20599999999999999</v>
      </c>
      <c r="T14" s="10">
        <f>'Hbt(g-L)'!T14/1000</f>
        <v>0.19800000000000001</v>
      </c>
      <c r="U14" s="10">
        <f>'Hbt(g-L)'!U14/1000</f>
        <v>0.19</v>
      </c>
      <c r="V14" s="10">
        <f>'Hbt(g-L)'!V14/1000</f>
        <v>0.20200000000000001</v>
      </c>
      <c r="W14" s="10">
        <f>'Hbt(g-L)'!W14/1000</f>
        <v>0.19900000000000001</v>
      </c>
      <c r="X14" s="10">
        <f>'Hbt(g-L)'!X14/1000</f>
        <v>0.18</v>
      </c>
      <c r="Y14" s="11">
        <f>'Hbt(g-L)'!Y14/1000</f>
        <v>0.192</v>
      </c>
    </row>
    <row r="15" spans="1:25" ht="15" thickBot="1" x14ac:dyDescent="0.35">
      <c r="A15" s="17" t="s">
        <v>39</v>
      </c>
      <c r="B15" s="26"/>
      <c r="C15" s="27"/>
      <c r="D15" s="27"/>
      <c r="E15" s="27"/>
      <c r="F15" s="24">
        <f>'Hbt(g-L)'!F15/1000</f>
        <v>0.21199999999999999</v>
      </c>
      <c r="G15" s="24">
        <f>'Hbt(g-L)'!G15/1000</f>
        <v>0.215</v>
      </c>
      <c r="H15" s="24">
        <f>'Hbt(g-L)'!H15/1000</f>
        <v>0.216</v>
      </c>
      <c r="I15" s="24">
        <f>'Hbt(g-L)'!I15/1000</f>
        <v>0.20399999999999999</v>
      </c>
      <c r="J15" s="24">
        <f>'Hbt(g-L)'!J15/1000</f>
        <v>0.19600000000000001</v>
      </c>
      <c r="K15" s="24">
        <f>'Hbt(g-L)'!K15/1000</f>
        <v>0.2</v>
      </c>
      <c r="L15" s="24">
        <f>'Hbt(g-L)'!L15/1000</f>
        <v>0.19800000000000001</v>
      </c>
      <c r="M15" s="24">
        <f>'Hbt(g-L)'!M15/1000</f>
        <v>0.183</v>
      </c>
      <c r="N15" s="24">
        <f>'Hbt(g-L)'!N15/1000</f>
        <v>0.20499999999999999</v>
      </c>
      <c r="O15" s="24">
        <f>'Hbt(g-L)'!O15/1000</f>
        <v>0.20100000000000001</v>
      </c>
      <c r="P15" s="24">
        <f>'Hbt(g-L)'!P15/1000</f>
        <v>0.18099999999999999</v>
      </c>
      <c r="Q15" s="24">
        <f>'Hbt(g-L)'!Q15/1000</f>
        <v>0.17599999999999999</v>
      </c>
      <c r="R15" s="24">
        <f>'Hbt(g-L)'!R15/1000</f>
        <v>0.20200000000000001</v>
      </c>
      <c r="S15" s="24">
        <f>'Hbt(g-L)'!S15/1000</f>
        <v>0.20699999999999999</v>
      </c>
      <c r="T15" s="24">
        <f>'Hbt(g-L)'!T15/1000</f>
        <v>0.19800000000000001</v>
      </c>
      <c r="U15" s="24">
        <f>'Hbt(g-L)'!U15/1000</f>
        <v>0.19</v>
      </c>
      <c r="V15" s="24">
        <f>'Hbt(g-L)'!V15/1000</f>
        <v>0.20300000000000001</v>
      </c>
      <c r="W15" s="24">
        <f>'Hbt(g-L)'!W15/1000</f>
        <v>0.20200000000000001</v>
      </c>
      <c r="X15" s="24">
        <f>'Hbt(g-L)'!X15/1000</f>
        <v>0.18</v>
      </c>
      <c r="Y15" s="25">
        <f>'Hbt(g-L)'!Y15/1000</f>
        <v>0.192</v>
      </c>
    </row>
    <row r="17" spans="1:12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2,3-DPG(umol-gHb)</vt:lpstr>
      <vt:lpstr>2,3-DPG(umol-mL)</vt:lpstr>
      <vt:lpstr>Hbt(g-L)</vt:lpstr>
      <vt:lpstr>Hbt(g-mL)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Madalina Herea</dc:creator>
  <cp:keywords/>
  <dc:description/>
  <cp:lastModifiedBy>Marta Peris Sales</cp:lastModifiedBy>
  <cp:revision/>
  <dcterms:created xsi:type="dcterms:W3CDTF">2022-06-09T20:20:19Z</dcterms:created>
  <dcterms:modified xsi:type="dcterms:W3CDTF">2025-12-01T11:18:58Z</dcterms:modified>
  <cp:category/>
  <cp:contentStatus/>
</cp:coreProperties>
</file>